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leer" sheetId="1" state="visible" r:id="rId3"/>
    <sheet name="Product Backlog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<sst xmlns="http://schemas.openxmlformats.org/spreadsheetml/2006/main" count="251" uniqueCount="176">
  <si>
    <t xml:space="preserve">Product Backlog WorkIn — Cómo leer este documento</t>
  </si>
  <si>
    <t xml:space="preserve">Proyecto WorkIn · PTY4614 Capstone · Metodología Scrum</t>
  </si>
  <si>
    <t xml:space="preserve">Concepto</t>
  </si>
  <si>
    <t xml:space="preserve">Explicación</t>
  </si>
  <si>
    <t xml:space="preserve">Origen de este backlog</t>
  </si>
  <si>
    <t xml:space="preserve">Cada historia proviene de un requisito de la Consolidación de la Entrevista, que a su vez proviene de una pregunta de la entrevista de levantamiento. Las dos columnas de origen permiten verificar esa trazabilidad.</t>
  </si>
  <si>
    <t xml:space="preserve">Historia de usuario</t>
  </si>
  <si>
    <t xml:space="preserve">Describe una necesidad desde el punto de vista de quien usará el sistema, con el formato "Como [perfil], quiero [acción], para [beneficio]".</t>
  </si>
  <si>
    <t xml:space="preserve">Criterios de aceptación</t>
  </si>
  <si>
    <t xml:space="preserve">Condiciones que deben cumplirse para dar la historia por terminada. Se redactaron únicamente a partir de lo declarado en la entrevista. Donde el entrevistado no especificó una condición, se indica que está por definir.</t>
  </si>
  <si>
    <t xml:space="preserve">Prioridad</t>
  </si>
  <si>
    <t xml:space="preserve">Se marcan como Alta solo las tres funcionalidades que el entrevistado declaró imprescindibles en la pregunta H.2. La prioridad del resto la define el equipo junto al usuario.</t>
  </si>
  <si>
    <t xml:space="preserve">Estado</t>
  </si>
  <si>
    <t xml:space="preserve">Se actualiza durante el proyecto: Pendiente, En curso, Terminada.</t>
  </si>
  <si>
    <t xml:space="preserve">Lo que este documento NO define</t>
  </si>
  <si>
    <t xml:space="preserve">Aspecto</t>
  </si>
  <si>
    <t xml:space="preserve">Motivo</t>
  </si>
  <si>
    <t xml:space="preserve">Estimación de esfuerzo</t>
  </si>
  <si>
    <t xml:space="preserve">El equipo no ha medido su capacidad de trabajo. La estimación se realizará en la planificación de cada sprint, cuando exista experiencia previa sobre la que estimar.</t>
  </si>
  <si>
    <t xml:space="preserve">Asignación a sprints</t>
  </si>
  <si>
    <t xml:space="preserve">Se define en cada planificación de sprint, considerando las fases de la carta Gantt y la prioridad acordada con el usuario.</t>
  </si>
  <si>
    <t xml:space="preserve">Prioridad de la mayoría de las historias</t>
  </si>
  <si>
    <t xml:space="preserve">La entrevista solo respalda la prioridad de tres funcionalidades (H.2). Asignar el resto sin consultar al usuario sería una suposición del equipo.</t>
  </si>
  <si>
    <t xml:space="preserve">Clasificación de desempeño (trabajador modelo)</t>
  </si>
  <si>
    <t xml:space="preserve">Corresponde a la decisión 12 de la Consolidación y aún no se ha resuelto. No se incluyen historias hasta que el equipo defina si entra al alcance.</t>
  </si>
  <si>
    <t xml:space="preserve">Product Backlog — WorkIn</t>
  </si>
  <si>
    <t xml:space="preserve">Agrupado por épica. La prioridad y el orden de ejecución se acuerdan con el usuario en la planificación de cada sprint.</t>
  </si>
  <si>
    <t xml:space="preserve">ID</t>
  </si>
  <si>
    <t xml:space="preserve">Épica</t>
  </si>
  <si>
    <t xml:space="preserve">Requisito</t>
  </si>
  <si>
    <t xml:space="preserve">Entrevista</t>
  </si>
  <si>
    <t xml:space="preserve">HU-01</t>
  </si>
  <si>
    <t xml:space="preserve">Perfiles y permisos</t>
  </si>
  <si>
    <t xml:space="preserve">Como administrador, quiero que el sistema tenga los perfiles trabajador, encargado y administrador, para que cada persona acceda solo a lo que le corresponde.</t>
  </si>
  <si>
    <t xml:space="preserve">Existen los tres perfiles. El trabajador solo puede ver su propio registro de horario trabajado.</t>
  </si>
  <si>
    <t xml:space="preserve">RF-22, RNF-05</t>
  </si>
  <si>
    <t xml:space="preserve">E.1, E.2, G.2</t>
  </si>
  <si>
    <t xml:space="preserve">Por definir con el usuario</t>
  </si>
  <si>
    <t xml:space="preserve">Pendiente</t>
  </si>
  <si>
    <t xml:space="preserve">HU-02</t>
  </si>
  <si>
    <t xml:space="preserve">Como usuario, quiero acceder al sistema desde la web y desde el teléfono, para usarlo donde me resulte más cómodo.</t>
  </si>
  <si>
    <t xml:space="preserve">Los tres perfiles pueden ingresar desde navegador web y desde teléfono.</t>
  </si>
  <si>
    <t xml:space="preserve">RNF-03</t>
  </si>
  <si>
    <t xml:space="preserve">E.4</t>
  </si>
  <si>
    <t xml:space="preserve">HU-03</t>
  </si>
  <si>
    <t xml:space="preserve">Trabajadores</t>
  </si>
  <si>
    <t xml:space="preserve">Como encargado, quiero enrolar presencialmente a un trabajador nuevo registrando su RUT y su nombre, para que pueda ingresar y quedar registrado.</t>
  </si>
  <si>
    <t xml:space="preserve">El enrolamiento lo realiza el encargado. Registra RUT y nombre. El trabajador enrolado puede ser convocado.</t>
  </si>
  <si>
    <t xml:space="preserve">RF-07, RN-04</t>
  </si>
  <si>
    <t xml:space="preserve">A.1, A.4</t>
  </si>
  <si>
    <t xml:space="preserve">HU-04</t>
  </si>
  <si>
    <t xml:space="preserve">Como administrador, quiero inhabilitar a un trabajador registrando el motivo, para impedir que sea convocado nuevamente.</t>
  </si>
  <si>
    <t xml:space="preserve">Se registra el motivo. Los motivos declarados son veto de la empresa, generar peleas y falta de compromiso. Un trabajador inhabilitado no puede ser convocado.</t>
  </si>
  <si>
    <t xml:space="preserve">RF-21, RN-10</t>
  </si>
  <si>
    <t xml:space="preserve">F.3</t>
  </si>
  <si>
    <t xml:space="preserve">HU-05</t>
  </si>
  <si>
    <t xml:space="preserve">Convocatoria y turnos</t>
  </si>
  <si>
    <t xml:space="preserve">Como encargado, quiero publicar un turno indicando fecha, horario, lugar y cantidad de cupos, para convocar trabajadores.</t>
  </si>
  <si>
    <t xml:space="preserve">El turno registra los cuatro datos. El lugar depende del sector.</t>
  </si>
  <si>
    <t xml:space="preserve">RF-01</t>
  </si>
  <si>
    <t xml:space="preserve">B.1, B.2</t>
  </si>
  <si>
    <t xml:space="preserve">HU-06</t>
  </si>
  <si>
    <t xml:space="preserve">Como encargado, quiero convocar a los trabajadores priorizando a los de confianza, para asignar los cupos según el criterio que uso hoy.</t>
  </si>
  <si>
    <t xml:space="preserve">Permite convocar primero a los trabajadores de confianza y repartir los cupos restantes entre quienes no se conocen. El mecanismo de registro de la confianza está por definir (decisión 12 de la Consolidación).</t>
  </si>
  <si>
    <t xml:space="preserve">RF-03, RN-02</t>
  </si>
  <si>
    <t xml:space="preserve">B.3, B.4</t>
  </si>
  <si>
    <t xml:space="preserve">HU-07</t>
  </si>
  <si>
    <t xml:space="preserve">Como trabajador, quiero confirmar o rechazar una convocatoria, para informar si asistiré al turno.</t>
  </si>
  <si>
    <t xml:space="preserve">El encargado hace el llamado y el trabajador confirma después. La lista debe quedar cerrada el día anterior al turno.</t>
  </si>
  <si>
    <t xml:space="preserve">RF-04, RN-03</t>
  </si>
  <si>
    <t xml:space="preserve">B.5, B.7</t>
  </si>
  <si>
    <t xml:space="preserve">HU-08</t>
  </si>
  <si>
    <t xml:space="preserve">Como trabajador, quiero recibir la notificación de una convocatoria, para enterarme del turno disponible.</t>
  </si>
  <si>
    <t xml:space="preserve">La notificación informa el turno publicado. El canal de notificación está por definir (consulta pendiente 10 de la Consolidación).</t>
  </si>
  <si>
    <t xml:space="preserve">RF-02</t>
  </si>
  <si>
    <t xml:space="preserve">A.1, B.3</t>
  </si>
  <si>
    <t xml:space="preserve">HU-09</t>
  </si>
  <si>
    <t xml:space="preserve">Como encargado, quiero liberar un cupo cuando un trabajador se baja el mismo día, para reasignarlo con urgencia.</t>
  </si>
  <si>
    <t xml:space="preserve">El cupo queda disponible. Se asigna a la primera persona que responde. En casos urgentes la convocatoria se abre a todos.</t>
  </si>
  <si>
    <t xml:space="preserve">RF-05, RF-06</t>
  </si>
  <si>
    <t xml:space="preserve">B.3, B.6</t>
  </si>
  <si>
    <t xml:space="preserve">HU-10</t>
  </si>
  <si>
    <t xml:space="preserve">Como encargado, quiero cancelar un turno publicado, para avisar oportunamente a los trabajadores convocados.</t>
  </si>
  <si>
    <t xml:space="preserve">La cancelación se realiza con al menos 12 horas de anticipación. Los trabajadores asignados reciben una notificación.</t>
  </si>
  <si>
    <t xml:space="preserve">RF-19</t>
  </si>
  <si>
    <t xml:space="preserve">F.2</t>
  </si>
  <si>
    <t xml:space="preserve">HU-11</t>
  </si>
  <si>
    <t xml:space="preserve">Como administrador, quiero que el sistema impida asignar dos turnos al mismo trabajador en un mismo día, para evitar errores de programación.</t>
  </si>
  <si>
    <t xml:space="preserve">El sistema no permite la segunda asignación en la misma fecha.</t>
  </si>
  <si>
    <t xml:space="preserve">RF-20, RN-08</t>
  </si>
  <si>
    <t xml:space="preserve">F.1</t>
  </si>
  <si>
    <t xml:space="preserve">HU-12</t>
  </si>
  <si>
    <t xml:space="preserve">Asistencia</t>
  </si>
  <si>
    <t xml:space="preserve">Como trabajador, quiero marcar mi asistencia escaneando un código QR, para dejar constancia de que llegué al turno.</t>
  </si>
  <si>
    <t xml:space="preserve">El trabajador escanea el código y marca su asistencia. El flujo debe ser simple, considerando que la mayoría no tiene experiencia con sistemas. Opera en línea, ya que el lugar de trabajo tiene cobertura óptima.</t>
  </si>
  <si>
    <t xml:space="preserve">RF-08, RNF-07, RNF-08</t>
  </si>
  <si>
    <t xml:space="preserve">C.7, G.5</t>
  </si>
  <si>
    <t xml:space="preserve">Alta</t>
  </si>
  <si>
    <t xml:space="preserve">HU-13</t>
  </si>
  <si>
    <t xml:space="preserve">Como administrador, quiero que se registre la hora de entrada y de salida de cada trabajador, para saber qué jornada cumplió efectivamente.</t>
  </si>
  <si>
    <t xml:space="preserve">El registro es individual por trabajador, no un conteo del total de personas. Registra hora de entrada y hora de salida.</t>
  </si>
  <si>
    <t xml:space="preserve">RF-09</t>
  </si>
  <si>
    <t xml:space="preserve">A.1, C.1, C.2</t>
  </si>
  <si>
    <t xml:space="preserve">HU-14</t>
  </si>
  <si>
    <t xml:space="preserve">Como encargado, quiero marcar la asistencia de un trabajador que no puede hacerlo por su cuenta, para que su registro no se pierda.</t>
  </si>
  <si>
    <t xml:space="preserve">La marca queda identificada como realizada por el encargado y no por el trabajador.</t>
  </si>
  <si>
    <t xml:space="preserve">RF-10</t>
  </si>
  <si>
    <t xml:space="preserve">C.9</t>
  </si>
  <si>
    <t xml:space="preserve">HU-15</t>
  </si>
  <si>
    <t xml:space="preserve">Como encargado, quiero registrar las horas extra autorizadas, para que se consideren en el pago.</t>
  </si>
  <si>
    <t xml:space="preserve">Las horas extra se notifican con un día de anticipación. Quedan registradas y asociadas al trabajador y al turno.</t>
  </si>
  <si>
    <t xml:space="preserve">RF-11</t>
  </si>
  <si>
    <t xml:space="preserve">C.6</t>
  </si>
  <si>
    <t xml:space="preserve">HU-16</t>
  </si>
  <si>
    <t xml:space="preserve">Como encargado o administrador, quiero corregir un registro de asistencia equivocado, para que la información refleje lo que realmente ocurrió.</t>
  </si>
  <si>
    <t xml:space="preserve">Pueden corregir el encargado y contabilidad. El trabajador no puede modificar registros.</t>
  </si>
  <si>
    <t xml:space="preserve">RF-12</t>
  </si>
  <si>
    <t xml:space="preserve">C.10, E.2</t>
  </si>
  <si>
    <t xml:space="preserve">HU-17</t>
  </si>
  <si>
    <t xml:space="preserve">Trazabilidad</t>
  </si>
  <si>
    <t xml:space="preserve">Como administrador, quiero que quede constancia de quién modificó un registro de asistencia y cuándo, para poder verificar cualquier diferencia.</t>
  </si>
  <si>
    <t xml:space="preserve">Cada modificación deja registrado quién la hizo y cuándo. Requisito planteado por el propio entrevistado en C.10.</t>
  </si>
  <si>
    <t xml:space="preserve">RF-13</t>
  </si>
  <si>
    <t xml:space="preserve">C.8, C.10</t>
  </si>
  <si>
    <t xml:space="preserve">HU-18</t>
  </si>
  <si>
    <t xml:space="preserve">Remuneraciones</t>
  </si>
  <si>
    <t xml:space="preserve">Como administrador, quiero que el sistema calcule el pago de cada trabajador, para evitar el cálculo manual.</t>
  </si>
  <si>
    <t xml:space="preserve">Aplica $15.000 líquidos por turno de 4 horas y $4.000 líquidos por hora extra. La tarifa es por turno y no varía entre trabajadores.</t>
  </si>
  <si>
    <t xml:space="preserve">RF-14, RN-06</t>
  </si>
  <si>
    <t xml:space="preserve">D.1, D.2, D.3</t>
  </si>
  <si>
    <t xml:space="preserve">HU-19</t>
  </si>
  <si>
    <t xml:space="preserve">Como administrador, quiero generar el resumen del período de cada trabajador, para comunicarle lo que se le pagará.</t>
  </si>
  <si>
    <t xml:space="preserve">El resumen incluye cantidad de turnos, fechas de esos turnos, horas extra si las hubo y monto total.</t>
  </si>
  <si>
    <t xml:space="preserve">RF-15</t>
  </si>
  <si>
    <t xml:space="preserve">D.6</t>
  </si>
  <si>
    <t xml:space="preserve">HU-20</t>
  </si>
  <si>
    <t xml:space="preserve">Como administrador, quiero configurar si un trabajador cobra quincenal o mensualmente, para respetar la modalidad que cada uno acordó.</t>
  </si>
  <si>
    <t xml:space="preserve">Cada trabajador tiene asignado su ciclo de pago. El resumen se genera según ese ciclo.</t>
  </si>
  <si>
    <t xml:space="preserve">RF-16, RN-07</t>
  </si>
  <si>
    <t xml:space="preserve">D.5</t>
  </si>
  <si>
    <t xml:space="preserve">HU-21</t>
  </si>
  <si>
    <t xml:space="preserve">Como trabajador, quiero recibir el resumen de mi período por correo electrónico, para revisarlo antes de emitir la boleta.</t>
  </si>
  <si>
    <t xml:space="preserve">El resumen se envía por correo electrónico, como se hace hoy.</t>
  </si>
  <si>
    <t xml:space="preserve">RF-17</t>
  </si>
  <si>
    <t xml:space="preserve">HU-22</t>
  </si>
  <si>
    <t xml:space="preserve">Consulta del trabajador</t>
  </si>
  <si>
    <t xml:space="preserve">Como trabajador, quiero consultar el historial de mis turnos y montos, para verificar por mi cuenta que la información sea correcta.</t>
  </si>
  <si>
    <t xml:space="preserve">Muestra el historial de los turnos trabajados. El trabajador solo ve su propia información. Accesible desde el teléfono.</t>
  </si>
  <si>
    <t xml:space="preserve">RF-18, RNF-05</t>
  </si>
  <si>
    <t xml:space="preserve">A.5, G.2, G.5</t>
  </si>
  <si>
    <t xml:space="preserve">HU-23</t>
  </si>
  <si>
    <t xml:space="preserve">Contingencia</t>
  </si>
  <si>
    <t xml:space="preserve">Como administrador, quiero cargar los datos de asistencia desde un archivo Excel, para no perder la trazabilidad si el sistema estuvo caído.</t>
  </si>
  <si>
    <t xml:space="preserve">Permite cargar los datos de los trabajadores desde un archivo Excel. Solución planteada por el entrevistado en G.4.</t>
  </si>
  <si>
    <t xml:space="preserve">RF-23</t>
  </si>
  <si>
    <t xml:space="preserve">G.4</t>
  </si>
  <si>
    <t xml:space="preserve">HU-24</t>
  </si>
  <si>
    <t xml:space="preserve">Como administrador, quiero que los registros de asistencia y pago se conserven al menos 3 años, para responder ante consultas posteriores.</t>
  </si>
  <si>
    <t xml:space="preserve">La información permanece disponible durante al menos 3 años.</t>
  </si>
  <si>
    <t xml:space="preserve">RNF-04</t>
  </si>
  <si>
    <t xml:space="preserve">G.3</t>
  </si>
  <si>
    <t xml:space="preserve">Resumen del backlog</t>
  </si>
  <si>
    <t xml:space="preserve">Historias</t>
  </si>
  <si>
    <t xml:space="preserve">Observación</t>
  </si>
  <si>
    <t xml:space="preserve">Base de acceso al sistema.</t>
  </si>
  <si>
    <t xml:space="preserve">Alta e inhabilitación de trabajadores.</t>
  </si>
  <si>
    <t xml:space="preserve">Publicación, convocatoria y confirmación.</t>
  </si>
  <si>
    <t xml:space="preserve">Marcaje, horas extra y correcciones.</t>
  </si>
  <si>
    <t xml:space="preserve">Cálculo, resumen y ciclo de pago.</t>
  </si>
  <si>
    <t xml:space="preserve">Acceso del trabajador a su propia información.</t>
  </si>
  <si>
    <t xml:space="preserve">Constancia de modificaciones y conservación de registros.</t>
  </si>
  <si>
    <t xml:space="preserve">Respaldo ante indisponibilidad del sistema.</t>
  </si>
  <si>
    <t xml:space="preserve">Total de historias</t>
  </si>
  <si>
    <t xml:space="preserve">Historias con prioridad Alta declarada en la entrevista</t>
  </si>
  <si>
    <t xml:space="preserve">Corresponden al registro de asistencia, el cálculo de pagos y la consulta del trabajador, las tres funcionalidades que el entrevistado declaró imprescindibles para la primera versión en la pregunta H.2.</t>
  </si>
  <si>
    <t xml:space="preserve">La prioridad de las historias restantes debe acordarse con el usuario. Este documento no la supone.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</si>
</sst>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767676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676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8"/>
  </cols>
  <sheetData>
    <row r="1" customFormat="false" ht="24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23.85" hidden="false" customHeight="false" outlineLevel="0" collapsed="false">
      <c r="A7" s="4" t="s">
        <v>8</v>
      </c>
      <c r="B7" s="5" t="s">
        <v>9</v>
      </c>
    </row>
    <row r="8" customFormat="false" ht="23.8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1" customFormat="false" ht="15" hidden="false" customHeight="false" outlineLevel="0" collapsed="false">
      <c r="A11" s="6" t="s">
        <v>14</v>
      </c>
    </row>
    <row r="12" customFormat="false" ht="30" hidden="false" customHeight="true" outlineLevel="0" collapsed="false">
      <c r="A12" s="3" t="s">
        <v>15</v>
      </c>
      <c r="B12" s="3" t="s">
        <v>16</v>
      </c>
    </row>
    <row r="13" customFormat="false" ht="23.85" hidden="false" customHeight="false" outlineLevel="0" collapsed="false">
      <c r="A13" s="4" t="s">
        <v>17</v>
      </c>
      <c r="B13" s="5" t="s">
        <v>18</v>
      </c>
    </row>
    <row r="14" customFormat="false" ht="23.85" hidden="false" customHeight="false" outlineLevel="0" collapsed="false">
      <c r="A14" s="4" t="s">
        <v>19</v>
      </c>
      <c r="B14" s="5" t="s">
        <v>20</v>
      </c>
    </row>
    <row r="15" customFormat="false" ht="23.85" hidden="false" customHeight="false" outlineLevel="0" collapsed="false">
      <c r="A15" s="4" t="s">
        <v>21</v>
      </c>
      <c r="B15" s="5" t="s">
        <v>22</v>
      </c>
    </row>
    <row r="16" customFormat="false" ht="23.85" hidden="false" customHeight="false" outlineLevel="0" collapsed="false">
      <c r="A16" s="4" t="s">
        <v>23</v>
      </c>
      <c r="B16" s="5" t="s">
        <v>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4" min="3" style="0" width="54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</v>
      </c>
    </row>
    <row r="4" customFormat="false" ht="30" hidden="false" customHeight="true" outlineLevel="0" collapsed="false">
      <c r="A4" s="3" t="s">
        <v>27</v>
      </c>
      <c r="B4" s="3" t="s">
        <v>28</v>
      </c>
      <c r="C4" s="3" t="s">
        <v>6</v>
      </c>
      <c r="D4" s="3" t="s">
        <v>8</v>
      </c>
      <c r="E4" s="3" t="s">
        <v>29</v>
      </c>
      <c r="F4" s="3" t="s">
        <v>30</v>
      </c>
      <c r="G4" s="3" t="s">
        <v>10</v>
      </c>
      <c r="H4" s="3" t="s">
        <v>12</v>
      </c>
    </row>
    <row r="5" customFormat="false" ht="61.5" hidden="false" customHeight="true" outlineLevel="0" collapsed="false">
      <c r="A5" s="5" t="s">
        <v>31</v>
      </c>
      <c r="B5" s="5" t="s">
        <v>32</v>
      </c>
      <c r="C5" s="5" t="s">
        <v>33</v>
      </c>
      <c r="D5" s="5" t="s">
        <v>34</v>
      </c>
      <c r="E5" s="7" t="s">
        <v>35</v>
      </c>
      <c r="F5" s="7" t="s">
        <v>36</v>
      </c>
      <c r="G5" s="8" t="s">
        <v>37</v>
      </c>
      <c r="H5" s="7" t="s">
        <v>38</v>
      </c>
    </row>
    <row r="6" customFormat="false" ht="61.5" hidden="false" customHeight="true" outlineLevel="0" collapsed="false">
      <c r="A6" s="5" t="s">
        <v>39</v>
      </c>
      <c r="B6" s="5" t="s">
        <v>32</v>
      </c>
      <c r="C6" s="5" t="s">
        <v>40</v>
      </c>
      <c r="D6" s="5" t="s">
        <v>41</v>
      </c>
      <c r="E6" s="7" t="s">
        <v>42</v>
      </c>
      <c r="F6" s="7" t="s">
        <v>43</v>
      </c>
      <c r="G6" s="8" t="s">
        <v>37</v>
      </c>
      <c r="H6" s="7" t="s">
        <v>38</v>
      </c>
    </row>
    <row r="7" customFormat="false" ht="61.5" hidden="false" customHeight="true" outlineLevel="0" collapsed="false">
      <c r="A7" s="5" t="s">
        <v>44</v>
      </c>
      <c r="B7" s="5" t="s">
        <v>45</v>
      </c>
      <c r="C7" s="5" t="s">
        <v>46</v>
      </c>
      <c r="D7" s="5" t="s">
        <v>47</v>
      </c>
      <c r="E7" s="7" t="s">
        <v>48</v>
      </c>
      <c r="F7" s="7" t="s">
        <v>49</v>
      </c>
      <c r="G7" s="8" t="s">
        <v>37</v>
      </c>
      <c r="H7" s="7" t="s">
        <v>38</v>
      </c>
    </row>
    <row r="8" customFormat="false" ht="61.5" hidden="false" customHeight="true" outlineLevel="0" collapsed="false">
      <c r="A8" s="5" t="s">
        <v>50</v>
      </c>
      <c r="B8" s="5" t="s">
        <v>45</v>
      </c>
      <c r="C8" s="5" t="s">
        <v>51</v>
      </c>
      <c r="D8" s="5" t="s">
        <v>52</v>
      </c>
      <c r="E8" s="7" t="s">
        <v>53</v>
      </c>
      <c r="F8" s="7" t="s">
        <v>54</v>
      </c>
      <c r="G8" s="8" t="s">
        <v>37</v>
      </c>
      <c r="H8" s="7" t="s">
        <v>38</v>
      </c>
    </row>
    <row r="9" customFormat="false" ht="61.5" hidden="false" customHeight="true" outlineLevel="0" collapsed="false">
      <c r="A9" s="5" t="s">
        <v>55</v>
      </c>
      <c r="B9" s="5" t="s">
        <v>56</v>
      </c>
      <c r="C9" s="5" t="s">
        <v>57</v>
      </c>
      <c r="D9" s="5" t="s">
        <v>58</v>
      </c>
      <c r="E9" s="7" t="s">
        <v>59</v>
      </c>
      <c r="F9" s="7" t="s">
        <v>60</v>
      </c>
      <c r="G9" s="8" t="s">
        <v>37</v>
      </c>
      <c r="H9" s="7" t="s">
        <v>38</v>
      </c>
    </row>
    <row r="10" customFormat="false" ht="61.5" hidden="false" customHeight="true" outlineLevel="0" collapsed="false">
      <c r="A10" s="5" t="s">
        <v>61</v>
      </c>
      <c r="B10" s="5" t="s">
        <v>56</v>
      </c>
      <c r="C10" s="5" t="s">
        <v>62</v>
      </c>
      <c r="D10" s="5" t="s">
        <v>63</v>
      </c>
      <c r="E10" s="7" t="s">
        <v>64</v>
      </c>
      <c r="F10" s="7" t="s">
        <v>65</v>
      </c>
      <c r="G10" s="8" t="s">
        <v>37</v>
      </c>
      <c r="H10" s="7" t="s">
        <v>38</v>
      </c>
    </row>
    <row r="11" customFormat="false" ht="61.5" hidden="false" customHeight="true" outlineLevel="0" collapsed="false">
      <c r="A11" s="5" t="s">
        <v>66</v>
      </c>
      <c r="B11" s="5" t="s">
        <v>56</v>
      </c>
      <c r="C11" s="5" t="s">
        <v>67</v>
      </c>
      <c r="D11" s="5" t="s">
        <v>68</v>
      </c>
      <c r="E11" s="7" t="s">
        <v>69</v>
      </c>
      <c r="F11" s="7" t="s">
        <v>70</v>
      </c>
      <c r="G11" s="8" t="s">
        <v>37</v>
      </c>
      <c r="H11" s="7" t="s">
        <v>38</v>
      </c>
    </row>
    <row r="12" customFormat="false" ht="61.5" hidden="false" customHeight="true" outlineLevel="0" collapsed="false">
      <c r="A12" s="5" t="s">
        <v>71</v>
      </c>
      <c r="B12" s="5" t="s">
        <v>56</v>
      </c>
      <c r="C12" s="5" t="s">
        <v>72</v>
      </c>
      <c r="D12" s="5" t="s">
        <v>73</v>
      </c>
      <c r="E12" s="7" t="s">
        <v>74</v>
      </c>
      <c r="F12" s="7" t="s">
        <v>75</v>
      </c>
      <c r="G12" s="8" t="s">
        <v>37</v>
      </c>
      <c r="H12" s="7" t="s">
        <v>38</v>
      </c>
    </row>
    <row r="13" customFormat="false" ht="61.5" hidden="false" customHeight="true" outlineLevel="0" collapsed="false">
      <c r="A13" s="5" t="s">
        <v>76</v>
      </c>
      <c r="B13" s="5" t="s">
        <v>56</v>
      </c>
      <c r="C13" s="5" t="s">
        <v>77</v>
      </c>
      <c r="D13" s="5" t="s">
        <v>78</v>
      </c>
      <c r="E13" s="7" t="s">
        <v>79</v>
      </c>
      <c r="F13" s="7" t="s">
        <v>80</v>
      </c>
      <c r="G13" s="8" t="s">
        <v>37</v>
      </c>
      <c r="H13" s="7" t="s">
        <v>38</v>
      </c>
    </row>
    <row r="14" customFormat="false" ht="61.5" hidden="false" customHeight="true" outlineLevel="0" collapsed="false">
      <c r="A14" s="5" t="s">
        <v>81</v>
      </c>
      <c r="B14" s="5" t="s">
        <v>56</v>
      </c>
      <c r="C14" s="5" t="s">
        <v>82</v>
      </c>
      <c r="D14" s="5" t="s">
        <v>83</v>
      </c>
      <c r="E14" s="7" t="s">
        <v>84</v>
      </c>
      <c r="F14" s="7" t="s">
        <v>85</v>
      </c>
      <c r="G14" s="8" t="s">
        <v>37</v>
      </c>
      <c r="H14" s="7" t="s">
        <v>38</v>
      </c>
    </row>
    <row r="15" customFormat="false" ht="61.5" hidden="false" customHeight="true" outlineLevel="0" collapsed="false">
      <c r="A15" s="5" t="s">
        <v>86</v>
      </c>
      <c r="B15" s="5" t="s">
        <v>56</v>
      </c>
      <c r="C15" s="5" t="s">
        <v>87</v>
      </c>
      <c r="D15" s="5" t="s">
        <v>88</v>
      </c>
      <c r="E15" s="7" t="s">
        <v>89</v>
      </c>
      <c r="F15" s="7" t="s">
        <v>90</v>
      </c>
      <c r="G15" s="8" t="s">
        <v>37</v>
      </c>
      <c r="H15" s="7" t="s">
        <v>38</v>
      </c>
    </row>
    <row r="16" customFormat="false" ht="61.5" hidden="false" customHeight="true" outlineLevel="0" collapsed="false">
      <c r="A16" s="5" t="s">
        <v>91</v>
      </c>
      <c r="B16" s="5" t="s">
        <v>92</v>
      </c>
      <c r="C16" s="5" t="s">
        <v>93</v>
      </c>
      <c r="D16" s="5" t="s">
        <v>94</v>
      </c>
      <c r="E16" s="7" t="s">
        <v>95</v>
      </c>
      <c r="F16" s="7" t="s">
        <v>96</v>
      </c>
      <c r="G16" s="9" t="s">
        <v>97</v>
      </c>
      <c r="H16" s="7" t="s">
        <v>38</v>
      </c>
    </row>
    <row r="17" customFormat="false" ht="61.5" hidden="false" customHeight="true" outlineLevel="0" collapsed="false">
      <c r="A17" s="5" t="s">
        <v>98</v>
      </c>
      <c r="B17" s="5" t="s">
        <v>92</v>
      </c>
      <c r="C17" s="5" t="s">
        <v>99</v>
      </c>
      <c r="D17" s="5" t="s">
        <v>100</v>
      </c>
      <c r="E17" s="7" t="s">
        <v>101</v>
      </c>
      <c r="F17" s="7" t="s">
        <v>102</v>
      </c>
      <c r="G17" s="9" t="s">
        <v>97</v>
      </c>
      <c r="H17" s="7" t="s">
        <v>38</v>
      </c>
    </row>
    <row r="18" customFormat="false" ht="61.5" hidden="false" customHeight="true" outlineLevel="0" collapsed="false">
      <c r="A18" s="5" t="s">
        <v>103</v>
      </c>
      <c r="B18" s="5" t="s">
        <v>92</v>
      </c>
      <c r="C18" s="5" t="s">
        <v>104</v>
      </c>
      <c r="D18" s="5" t="s">
        <v>105</v>
      </c>
      <c r="E18" s="7" t="s">
        <v>106</v>
      </c>
      <c r="F18" s="7" t="s">
        <v>107</v>
      </c>
      <c r="G18" s="9" t="s">
        <v>97</v>
      </c>
      <c r="H18" s="7" t="s">
        <v>38</v>
      </c>
    </row>
    <row r="19" customFormat="false" ht="61.5" hidden="false" customHeight="true" outlineLevel="0" collapsed="false">
      <c r="A19" s="5" t="s">
        <v>108</v>
      </c>
      <c r="B19" s="5" t="s">
        <v>92</v>
      </c>
      <c r="C19" s="5" t="s">
        <v>109</v>
      </c>
      <c r="D19" s="5" t="s">
        <v>110</v>
      </c>
      <c r="E19" s="7" t="s">
        <v>111</v>
      </c>
      <c r="F19" s="7" t="s">
        <v>112</v>
      </c>
      <c r="G19" s="9" t="s">
        <v>97</v>
      </c>
      <c r="H19" s="7" t="s">
        <v>38</v>
      </c>
    </row>
    <row r="20" customFormat="false" ht="61.5" hidden="false" customHeight="true" outlineLevel="0" collapsed="false">
      <c r="A20" s="5" t="s">
        <v>113</v>
      </c>
      <c r="B20" s="5" t="s">
        <v>92</v>
      </c>
      <c r="C20" s="5" t="s">
        <v>114</v>
      </c>
      <c r="D20" s="5" t="s">
        <v>115</v>
      </c>
      <c r="E20" s="7" t="s">
        <v>116</v>
      </c>
      <c r="F20" s="7" t="s">
        <v>117</v>
      </c>
      <c r="G20" s="9" t="s">
        <v>97</v>
      </c>
      <c r="H20" s="7" t="s">
        <v>38</v>
      </c>
    </row>
    <row r="21" customFormat="false" ht="61.5" hidden="false" customHeight="true" outlineLevel="0" collapsed="false">
      <c r="A21" s="5" t="s">
        <v>118</v>
      </c>
      <c r="B21" s="5" t="s">
        <v>119</v>
      </c>
      <c r="C21" s="5" t="s">
        <v>120</v>
      </c>
      <c r="D21" s="5" t="s">
        <v>121</v>
      </c>
      <c r="E21" s="7" t="s">
        <v>122</v>
      </c>
      <c r="F21" s="7" t="s">
        <v>123</v>
      </c>
      <c r="G21" s="9" t="s">
        <v>97</v>
      </c>
      <c r="H21" s="7" t="s">
        <v>38</v>
      </c>
    </row>
    <row r="22" customFormat="false" ht="61.5" hidden="false" customHeight="true" outlineLevel="0" collapsed="false">
      <c r="A22" s="5" t="s">
        <v>124</v>
      </c>
      <c r="B22" s="5" t="s">
        <v>125</v>
      </c>
      <c r="C22" s="5" t="s">
        <v>126</v>
      </c>
      <c r="D22" s="5" t="s">
        <v>127</v>
      </c>
      <c r="E22" s="7" t="s">
        <v>128</v>
      </c>
      <c r="F22" s="7" t="s">
        <v>129</v>
      </c>
      <c r="G22" s="9" t="s">
        <v>97</v>
      </c>
      <c r="H22" s="7" t="s">
        <v>38</v>
      </c>
    </row>
    <row r="23" customFormat="false" ht="61.5" hidden="false" customHeight="true" outlineLevel="0" collapsed="false">
      <c r="A23" s="5" t="s">
        <v>130</v>
      </c>
      <c r="B23" s="5" t="s">
        <v>125</v>
      </c>
      <c r="C23" s="5" t="s">
        <v>131</v>
      </c>
      <c r="D23" s="5" t="s">
        <v>132</v>
      </c>
      <c r="E23" s="7" t="s">
        <v>133</v>
      </c>
      <c r="F23" s="7" t="s">
        <v>134</v>
      </c>
      <c r="G23" s="9" t="s">
        <v>97</v>
      </c>
      <c r="H23" s="7" t="s">
        <v>38</v>
      </c>
    </row>
    <row r="24" customFormat="false" ht="61.5" hidden="false" customHeight="true" outlineLevel="0" collapsed="false">
      <c r="A24" s="5" t="s">
        <v>135</v>
      </c>
      <c r="B24" s="5" t="s">
        <v>125</v>
      </c>
      <c r="C24" s="5" t="s">
        <v>136</v>
      </c>
      <c r="D24" s="5" t="s">
        <v>137</v>
      </c>
      <c r="E24" s="7" t="s">
        <v>138</v>
      </c>
      <c r="F24" s="7" t="s">
        <v>139</v>
      </c>
      <c r="G24" s="9" t="s">
        <v>97</v>
      </c>
      <c r="H24" s="7" t="s">
        <v>38</v>
      </c>
    </row>
    <row r="25" customFormat="false" ht="61.5" hidden="false" customHeight="true" outlineLevel="0" collapsed="false">
      <c r="A25" s="5" t="s">
        <v>140</v>
      </c>
      <c r="B25" s="5" t="s">
        <v>125</v>
      </c>
      <c r="C25" s="5" t="s">
        <v>141</v>
      </c>
      <c r="D25" s="5" t="s">
        <v>142</v>
      </c>
      <c r="E25" s="7" t="s">
        <v>143</v>
      </c>
      <c r="F25" s="7" t="s">
        <v>134</v>
      </c>
      <c r="G25" s="8" t="s">
        <v>37</v>
      </c>
      <c r="H25" s="7" t="s">
        <v>38</v>
      </c>
    </row>
    <row r="26" customFormat="false" ht="61.5" hidden="false" customHeight="true" outlineLevel="0" collapsed="false">
      <c r="A26" s="5" t="s">
        <v>144</v>
      </c>
      <c r="B26" s="5" t="s">
        <v>145</v>
      </c>
      <c r="C26" s="5" t="s">
        <v>146</v>
      </c>
      <c r="D26" s="5" t="s">
        <v>147</v>
      </c>
      <c r="E26" s="7" t="s">
        <v>148</v>
      </c>
      <c r="F26" s="7" t="s">
        <v>149</v>
      </c>
      <c r="G26" s="9" t="s">
        <v>97</v>
      </c>
      <c r="H26" s="7" t="s">
        <v>38</v>
      </c>
    </row>
    <row r="27" customFormat="false" ht="61.5" hidden="false" customHeight="true" outlineLevel="0" collapsed="false">
      <c r="A27" s="5" t="s">
        <v>150</v>
      </c>
      <c r="B27" s="5" t="s">
        <v>151</v>
      </c>
      <c r="C27" s="5" t="s">
        <v>152</v>
      </c>
      <c r="D27" s="5" t="s">
        <v>153</v>
      </c>
      <c r="E27" s="7" t="s">
        <v>154</v>
      </c>
      <c r="F27" s="7" t="s">
        <v>155</v>
      </c>
      <c r="G27" s="8" t="s">
        <v>37</v>
      </c>
      <c r="H27" s="7" t="s">
        <v>38</v>
      </c>
    </row>
    <row r="28" customFormat="false" ht="61.5" hidden="false" customHeight="true" outlineLevel="0" collapsed="false">
      <c r="A28" s="5" t="s">
        <v>156</v>
      </c>
      <c r="B28" s="5" t="s">
        <v>119</v>
      </c>
      <c r="C28" s="5" t="s">
        <v>157</v>
      </c>
      <c r="D28" s="5" t="s">
        <v>158</v>
      </c>
      <c r="E28" s="7" t="s">
        <v>159</v>
      </c>
      <c r="F28" s="7" t="s">
        <v>160</v>
      </c>
      <c r="G28" s="8" t="s">
        <v>37</v>
      </c>
      <c r="H28" s="7" t="s">
        <v>38</v>
      </c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H5:H28" type="list">
      <formula1>"Pendiente,En curso,Terminada"</formula1>
      <formula2>0</formula2>
    </dataValidation>
    <dataValidation allowBlank="true" errorStyle="stop" operator="between" showDropDown="false" showErrorMessage="false" showInputMessage="false" sqref="G5:G28" type="list">
      <formula1>"Alta,Media,Baja,Por definir con el usuario"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161</v>
      </c>
      <c r="B1" s="1"/>
      <c r="C1" s="1"/>
    </row>
    <row r="3" customFormat="false" ht="30" hidden="false" customHeight="true" outlineLevel="0" collapsed="false">
      <c r="A3" s="3" t="s">
        <v>28</v>
      </c>
      <c r="B3" s="3" t="s">
        <v>162</v>
      </c>
      <c r="C3" s="3" t="s">
        <v>163</v>
      </c>
    </row>
    <row r="4" customFormat="false" ht="15" hidden="false" customHeight="false" outlineLevel="0" collapsed="false">
      <c r="A4" s="10" t="s">
        <v>32</v>
      </c>
      <c r="B4" s="11" t="n">
        <f aca="false">COUNTIF('Product Backlog'!B:B,A4)</f>
        <v>2</v>
      </c>
      <c r="C4" s="12" t="s">
        <v>164</v>
      </c>
    </row>
    <row r="5" customFormat="false" ht="15" hidden="false" customHeight="false" outlineLevel="0" collapsed="false">
      <c r="A5" s="10" t="s">
        <v>45</v>
      </c>
      <c r="B5" s="11" t="n">
        <f aca="false">COUNTIF('Product Backlog'!B:B,A5)</f>
        <v>2</v>
      </c>
      <c r="C5" s="12" t="s">
        <v>165</v>
      </c>
    </row>
    <row r="6" customFormat="false" ht="15" hidden="false" customHeight="false" outlineLevel="0" collapsed="false">
      <c r="A6" s="10" t="s">
        <v>56</v>
      </c>
      <c r="B6" s="11" t="n">
        <f aca="false">COUNTIF('Product Backlog'!B:B,A6)</f>
        <v>7</v>
      </c>
      <c r="C6" s="12" t="s">
        <v>166</v>
      </c>
    </row>
    <row r="7" customFormat="false" ht="15" hidden="false" customHeight="false" outlineLevel="0" collapsed="false">
      <c r="A7" s="10" t="s">
        <v>92</v>
      </c>
      <c r="B7" s="11" t="n">
        <f aca="false">COUNTIF('Product Backlog'!B:B,A7)</f>
        <v>5</v>
      </c>
      <c r="C7" s="12" t="s">
        <v>167</v>
      </c>
    </row>
    <row r="8" customFormat="false" ht="15" hidden="false" customHeight="false" outlineLevel="0" collapsed="false">
      <c r="A8" s="10" t="s">
        <v>125</v>
      </c>
      <c r="B8" s="11" t="n">
        <f aca="false">COUNTIF('Product Backlog'!B:B,A8)</f>
        <v>4</v>
      </c>
      <c r="C8" s="12" t="s">
        <v>168</v>
      </c>
    </row>
    <row r="9" customFormat="false" ht="15" hidden="false" customHeight="false" outlineLevel="0" collapsed="false">
      <c r="A9" s="10" t="s">
        <v>145</v>
      </c>
      <c r="B9" s="11" t="n">
        <f aca="false">COUNTIF('Product Backlog'!B:B,A9)</f>
        <v>1</v>
      </c>
      <c r="C9" s="12" t="s">
        <v>169</v>
      </c>
    </row>
    <row r="10" customFormat="false" ht="15" hidden="false" customHeight="false" outlineLevel="0" collapsed="false">
      <c r="A10" s="10" t="s">
        <v>119</v>
      </c>
      <c r="B10" s="11" t="n">
        <f aca="false">COUNTIF('Product Backlog'!B:B,A10)</f>
        <v>2</v>
      </c>
      <c r="C10" s="12" t="s">
        <v>170</v>
      </c>
    </row>
    <row r="11" customFormat="false" ht="15" hidden="false" customHeight="false" outlineLevel="0" collapsed="false">
      <c r="A11" s="10" t="s">
        <v>151</v>
      </c>
      <c r="B11" s="11" t="n">
        <f aca="false">COUNTIF('Product Backlog'!B:B,A11)</f>
        <v>1</v>
      </c>
      <c r="C11" s="12" t="s">
        <v>171</v>
      </c>
    </row>
    <row r="12" customFormat="false" ht="15" hidden="false" customHeight="false" outlineLevel="0" collapsed="false">
      <c r="A12" s="13" t="s">
        <v>172</v>
      </c>
      <c r="B12" s="14" t="n">
        <f aca="false">SUM(B4:B11)</f>
        <v>24</v>
      </c>
    </row>
    <row r="14" customFormat="false" ht="15" hidden="false" customHeight="false" outlineLevel="0" collapsed="false">
      <c r="A14" s="15" t="s">
        <v>173</v>
      </c>
      <c r="B14" s="16" t="n">
        <f aca="false">COUNTIF('Product Backlog'!G:G,"Alta")</f>
        <v>10</v>
      </c>
    </row>
    <row r="15" customFormat="false" ht="30" hidden="false" customHeight="true" outlineLevel="0" collapsed="false">
      <c r="A15" s="17" t="s">
        <v>174</v>
      </c>
      <c r="B15" s="17"/>
      <c r="C15" s="17"/>
    </row>
    <row r="17" customFormat="false" ht="15" hidden="false" customHeight="false" outlineLevel="0" collapsed="false">
      <c r="A17" s="2" t="s">
        <v>175</v>
      </c>
    </row>
  </sheetData>
  <mergeCells count="2">
    <mergeCell ref="A1:C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2026-09-23T18:38:00Z</dcterms:created>
  <dc:creator>openpyxl</dc:creator>
  <dc:description/>
  <dc:language>en-US</dc:language>
  <cp:lastModifiedBy/>
  <dcterms:modified xsi:type="dcterms:W3CDTF">2026-09-23T18:38:00Z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