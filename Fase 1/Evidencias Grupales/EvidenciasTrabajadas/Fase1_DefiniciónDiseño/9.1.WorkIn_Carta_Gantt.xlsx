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ta Gant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<sst xmlns="http://schemas.openxmlformats.org/spreadsheetml/2006/main" count="152" uniqueCount="114">
  <si>
    <t xml:space="preserve">WorkIn — Carta Gantt del Proyecto APT</t>
  </si>
  <si>
    <t xml:space="preserve">PTY4614 Capstone · Cristopher Rodolfo Aguilera Hernández · Equipo de 2 integrantes</t>
  </si>
  <si>
    <t xml:space="preserve">Inicio: lunes 07-09-2026 · Término: domingo 27-12-2026 · Duración: 16 semanas (8 sprints de 2 semanas)</t>
  </si>
  <si>
    <t xml:space="preserve">Dedicación conjunta: 8 h/semana (lunes 1,0 h · miércoles 3,5 h · domingos 3,5 h), más el trabajo individual que cada integrante realice en paralelo</t>
  </si>
  <si>
    <t xml:space="preserve">Fase / Actividad</t>
  </si>
  <si>
    <t xml:space="preserve">Responsable</t>
  </si>
  <si>
    <t xml:space="preserve">Inicio</t>
  </si>
  <si>
    <t xml:space="preserve">Término</t>
  </si>
  <si>
    <t xml:space="preserve">Sem.</t>
  </si>
  <si>
    <t xml:space="preserve">Sprint 1</t>
  </si>
  <si>
    <t xml:space="preserve">Sprint 2</t>
  </si>
  <si>
    <t xml:space="preserve">Sprint 3</t>
  </si>
  <si>
    <t xml:space="preserve">Sprint 4</t>
  </si>
  <si>
    <t xml:space="preserve">Sprint 5</t>
  </si>
  <si>
    <t xml:space="preserve">Sprint 6</t>
  </si>
  <si>
    <t xml:space="preserve">Sprint 7</t>
  </si>
  <si>
    <t xml:space="preserve">Sprint 8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</si>
  <si>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</si>
  <si>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</si>
  <si>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</si>
  <si>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</si>
  <si>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</si>
  <si>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</si>
  <si>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</si>
  <si>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</si>
  <si>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</si>
  <si>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</si>
  <si>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</si>
  <si>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</si>
  <si>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</si>
  <si>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</si>
  <si>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</si>
  <si>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</si>
  <si>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07-09</t>
  </si>
  <si>
    <t xml:space="preserve">14-09</t>
  </si>
  <si>
    <t xml:space="preserve">21-09</t>
  </si>
  <si>
    <t xml:space="preserve">28-09</t>
  </si>
  <si>
    <t xml:space="preserve">05-10</t>
  </si>
  <si>
    <t xml:space="preserve">12-10</t>
  </si>
  <si>
    <t xml:space="preserve">19-10</t>
  </si>
  <si>
    <t xml:space="preserve">26-10</t>
  </si>
  <si>
    <t xml:space="preserve">02-11</t>
  </si>
  <si>
    <t xml:space="preserve">09-11</t>
  </si>
  <si>
    <t xml:space="preserve">16-11</t>
  </si>
  <si>
    <t xml:space="preserve">23-11</t>
  </si>
  <si>
    <t xml:space="preserve">30-11</t>
  </si>
  <si>
    <t xml:space="preserve">07-12</t>
  </si>
  <si>
    <t xml:space="preserve">14-12</t>
  </si>
  <si>
    <t xml:space="preserve">21-12</t>
  </si>
  <si>
    <t xml:space="preserve">FASE 1: Definición y Diseño</t>
  </si>
  <si>
    <t xml:space="preserve">Equipo</t>
  </si>
  <si>
    <t xml:space="preserve">    Formalización de requisitos funcionales y no funcionales</t>
  </si>
  <si>
    <t xml:space="preserve">    Construcción del Product Backlog priorizado</t>
  </si>
  <si>
    <t xml:space="preserve">    Modelado del proceso de negocio (BPMN)</t>
  </si>
  <si>
    <t xml:space="preserve">Integrante 1</t>
  </si>
  <si>
    <t xml:space="preserve">    Diseño del modelo de base de datos</t>
  </si>
  <si>
    <t xml:space="preserve">Integrante 2</t>
  </si>
  <si>
    <t xml:space="preserve">    Definición de la arquitectura del sistema</t>
  </si>
  <si>
    <t xml:space="preserve">    Diseño UX/UI (perfiles trabajador, encargado y administrador)</t>
  </si>
  <si>
    <t xml:space="preserve">FASE 2: Desarrollo Backend y Base de Datos</t>
  </si>
  <si>
    <t xml:space="preserve">    Implementación de la base de datos</t>
  </si>
  <si>
    <t xml:space="preserve">    Gestión de usuarios y autenticación</t>
  </si>
  <si>
    <t xml:space="preserve">    Registro e inhabilitación de trabajadores</t>
  </si>
  <si>
    <t xml:space="preserve">    Validación de inicio de actividades en el SII</t>
  </si>
  <si>
    <t xml:space="preserve">    Estructura para la gestión de turnos y reglas de asignación</t>
  </si>
  <si>
    <t xml:space="preserve">FASE 3: Gestión de Turnos y Convocatoria</t>
  </si>
  <si>
    <t xml:space="preserve">    Módulo de publicación automática de turnos</t>
  </si>
  <si>
    <t xml:space="preserve">    Sistema de notificaciones a trabajadores</t>
  </si>
  <si>
    <t xml:space="preserve">    Confirmación de la convocatoria por el trabajador</t>
  </si>
  <si>
    <t xml:space="preserve">    Gestión de cupos, reemplazos y cancelación de turnos</t>
  </si>
  <si>
    <t xml:space="preserve">FASE 4: Asistencia y Remuneraciones</t>
  </si>
  <si>
    <t xml:space="preserve">    Registro de asistencia mediante código QR</t>
  </si>
  <si>
    <t xml:space="preserve">    Marcaje de respaldo, correcciones e historial de auditoría</t>
  </si>
  <si>
    <t xml:space="preserve">    Cálculo de remuneraciones y ciclo de pago quincenal o mensual</t>
  </si>
  <si>
    <t xml:space="preserve">    Portal del trabajador: consulta de turnos y montos</t>
  </si>
  <si>
    <t xml:space="preserve">FASE 5: Integración y Pruebas</t>
  </si>
  <si>
    <t xml:space="preserve">    Integración de todos los módulos</t>
  </si>
  <si>
    <t xml:space="preserve">    Carga de respaldo de asistencia desde archivo Excel</t>
  </si>
  <si>
    <t xml:space="preserve">    Generación de liquidaciones e informes</t>
  </si>
  <si>
    <t xml:space="preserve">    Ejecución de pruebas funcionales</t>
  </si>
  <si>
    <t xml:space="preserve">FASE 6: Cierre y Presentación</t>
  </si>
  <si>
    <t xml:space="preserve">    Corrección de errores y ajustes finales</t>
  </si>
  <si>
    <t xml:space="preserve">    Documentación del proyecto</t>
  </si>
  <si>
    <t xml:space="preserve">    Preparación de la presentación final</t>
  </si>
  <si>
    <t xml:space="preserve">    Presentación final del proyecto APT</t>
  </si>
  <si>
    <t xml:space="preserve">ACTIVIDADES TRANSVERSALES</t>
  </si>
  <si>
    <t xml:space="preserve">    Ceremonias Scrum (planificación, seguimiento, revisión, retrospectiva)</t>
  </si>
  <si>
    <t xml:space="preserve">    Actas de reunión</t>
  </si>
  <si>
    <t xml:space="preserve">    Gestión del repositorio y control de versiones</t>
  </si>
  <si>
    <t xml:space="preserve">    Recopilación de evidencias del proyecto</t>
  </si>
  <si>
    <t xml:space="preserve">LEYENDA Y SUPUESTOS</t>
  </si>
  <si>
    <t xml:space="preserve">• Celdas a completar por el equipo: la columna «Responsable» usa los valores provisorios «Integrante 1» e «Integrante 2»; reemplázalos por los nombres reales.</t>
  </si>
  <si>
    <t xml:space="preserve">• Ejemplo de fila completada: «Diseño del modelo de base de datos» | C. Aguilera | 14-09-2026 | 20-09-2026 | 1 semana.</t>
  </si>
  <si>
    <t xml:space="preserve">• Las fechas de inicio y término se calculan desde el lunes 07-09-2026; la duración en semanas es una fórmula, no un valor escrito a mano.</t>
  </si>
  <si>
    <t xml:space="preserve">• Las fases y sus rangos de semanas provienen del Plan de Trabajo del informe de Fase 1 (documento de Autoevaluación APT).</t>
  </si>
  <si>
    <t xml:space="preserve">• Los sprints de 2 semanas son una definición añadida para completar el marco Scrum, que el informe declaraba sin especificar su duración.</t>
  </si>
  <si>
    <t xml:space="preserve">• Riesgo de calendario: la semana 2 (14-09 al 20-09) incluye Fiestas Patrias y la semana 16 (21-12 al 27-12) incluye Navidad.</t>
  </si>
  <si>
    <t xml:space="preserve">• Los nombres de las tareas se ajustaron para reflejar los requisitos de la Consolidación de la Entrevista: tres perfiles de usuario, el código QR como mecanismo principal de marcaje con respaldo manual, el historial de auditoría y el ciclo de pago configurable.</t>
  </si>
  <si>
    <t xml:space="preserve">DEDICACIÓN ESTIMADA</t>
  </si>
  <si>
    <t xml:space="preserve">Concepto</t>
  </si>
  <si>
    <t xml:space="preserve">Valor</t>
  </si>
  <si>
    <t xml:space="preserve">Unidad</t>
  </si>
  <si>
    <t xml:space="preserve">Sesión de los lunes</t>
  </si>
  <si>
    <t xml:space="preserve">horas</t>
  </si>
  <si>
    <t xml:space="preserve">Sesión de los miércoles</t>
  </si>
  <si>
    <t xml:space="preserve">Sesión de los domingos</t>
  </si>
  <si>
    <t xml:space="preserve">Total semanal de trabajo conjunto</t>
  </si>
  <si>
    <t xml:space="preserve">horas/semana</t>
  </si>
  <si>
    <t xml:space="preserve">Duración total del proyecto</t>
  </si>
  <si>
    <t xml:space="preserve">semanas</t>
  </si>
  <si>
    <t xml:space="preserve">Total de horas conjuntas del proyecto</t>
  </si>
  <si>
    <t xml:space="preserve">Total de horas-persona (equipo de 2)</t>
  </si>
  <si>
    <t xml:space="preserve">horas-persona</t>
  </si>
  <si>
    <t xml:space="preserve">Las horas en azul son los datos declarados en el informe; el resto se calcula con fórmulas. No incluye el trabajo individual en paralelo.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</si>
</sst>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\-yyyy"/>
    <numFmt numFmtId="166" formatCode="0"/>
    <numFmt numFmtId="167" formatCode="0.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color rgb="FF404040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9"/>
      <color rgb="FF40404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40404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404040"/>
        <bgColor rgb="FF333300"/>
      </patternFill>
    </fill>
    <fill>
      <patternFill patternType="solid">
        <fgColor rgb="FFF2F2F2"/>
        <bgColor rgb="FFFAFAFA"/>
      </patternFill>
    </fill>
    <fill>
      <patternFill patternType="solid">
        <fgColor rgb="FFFAFAFA"/>
        <bgColor rgb="FFFFFFFF"/>
      </patternFill>
    </fill>
    <fill>
      <patternFill patternType="solid">
        <fgColor rgb="FF548235"/>
        <bgColor rgb="FF339966"/>
      </patternFill>
    </fill>
    <fill>
      <patternFill patternType="solid">
        <fgColor rgb="FFBF8F00"/>
        <bgColor rgb="FFFF6600"/>
      </patternFill>
    </fill>
    <fill>
      <patternFill patternType="solid">
        <fgColor rgb="FF7030A0"/>
        <bgColor rgb="FF993366"/>
      </patternFill>
    </fill>
    <fill>
      <patternFill patternType="solid">
        <fgColor rgb="FFC00000"/>
        <bgColor rgb="FF800000"/>
      </patternFill>
    </fill>
    <fill>
      <patternFill patternType="solid">
        <fgColor rgb="FF595959"/>
        <bgColor rgb="FF404040"/>
      </patternFill>
    </fill>
    <fill>
      <patternFill patternType="solid">
        <fgColor rgb="FFDDEBF7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6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6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7030A0"/>
      <rgbColor rgb="FFFAFAFA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6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F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15"/>
    <col collapsed="false" customWidth="true" hidden="false" outlineLevel="0" max="4" min="3" style="1" width="12"/>
    <col collapsed="false" customWidth="true" hidden="false" outlineLevel="0" max="5" min="5" style="1" width="6"/>
    <col collapsed="false" customWidth="true" hidden="false" outlineLevel="0" max="21" min="6" style="1" width="5.2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 t="s">
        <v>2</v>
      </c>
    </row>
    <row r="4" customFormat="false" ht="15" hidden="false" customHeight="true" outlineLevel="0" collapsed="false">
      <c r="A4" s="3" t="s">
        <v>3</v>
      </c>
    </row>
    <row r="6" customFormat="false" ht="15" hidden="false" customHeight="true" outlineLevel="0" collapsed="false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5" t="s">
        <v>9</v>
      </c>
      <c r="G6" s="5"/>
      <c r="H6" s="6" t="s">
        <v>10</v>
      </c>
      <c r="I6" s="6"/>
      <c r="J6" s="5" t="s">
        <v>11</v>
      </c>
      <c r="K6" s="5"/>
      <c r="L6" s="6" t="s">
        <v>12</v>
      </c>
      <c r="M6" s="6"/>
      <c r="N6" s="5" t="s">
        <v>13</v>
      </c>
      <c r="O6" s="5"/>
      <c r="P6" s="6" t="s">
        <v>14</v>
      </c>
      <c r="Q6" s="6"/>
      <c r="R6" s="5" t="s">
        <v>15</v>
      </c>
      <c r="S6" s="5"/>
      <c r="T6" s="6" t="s">
        <v>16</v>
      </c>
      <c r="U6" s="6"/>
    </row>
    <row r="7" customFormat="false" ht="15" hidden="false" customHeight="true" outlineLevel="0" collapsed="false">
      <c r="A7" s="4"/>
      <c r="B7" s="4"/>
      <c r="C7" s="4"/>
      <c r="D7" s="4"/>
      <c r="E7" s="4"/>
      <c r="F7" s="7" t="s">
        <v>17</v>
      </c>
      <c r="G7" s="7" t="s">
        <v>18</v>
      </c>
      <c r="H7" s="7" t="s">
        <v>19</v>
      </c>
      <c r="I7" s="7" t="s">
        <v>20</v>
      </c>
      <c r="J7" s="7" t="s">
        <v>21</v>
      </c>
      <c r="K7" s="7" t="s">
        <v>22</v>
      </c>
      <c r="L7" s="7" t="s">
        <v>23</v>
      </c>
      <c r="M7" s="7" t="s">
        <v>24</v>
      </c>
      <c r="N7" s="7" t="s">
        <v>25</v>
      </c>
      <c r="O7" s="7" t="s">
        <v>26</v>
      </c>
      <c r="P7" s="7" t="s">
        <v>27</v>
      </c>
      <c r="Q7" s="7" t="s">
        <v>28</v>
      </c>
      <c r="R7" s="7" t="s">
        <v>29</v>
      </c>
      <c r="S7" s="7" t="s">
        <v>30</v>
      </c>
      <c r="T7" s="7" t="s">
        <v>31</v>
      </c>
      <c r="U7" s="7" t="s">
        <v>32</v>
      </c>
    </row>
    <row r="8" customFormat="false" ht="15" hidden="false" customHeight="true" outlineLevel="0" collapsed="false">
      <c r="A8" s="4"/>
      <c r="B8" s="4"/>
      <c r="C8" s="4"/>
      <c r="D8" s="4"/>
      <c r="E8" s="4"/>
      <c r="F8" s="8" t="s">
        <v>33</v>
      </c>
      <c r="G8" s="8" t="s">
        <v>34</v>
      </c>
      <c r="H8" s="8" t="s">
        <v>35</v>
      </c>
      <c r="I8" s="8" t="s">
        <v>36</v>
      </c>
      <c r="J8" s="8" t="s">
        <v>37</v>
      </c>
      <c r="K8" s="8" t="s">
        <v>38</v>
      </c>
      <c r="L8" s="8" t="s">
        <v>39</v>
      </c>
      <c r="M8" s="8" t="s">
        <v>40</v>
      </c>
      <c r="N8" s="8" t="s">
        <v>41</v>
      </c>
      <c r="O8" s="8" t="s">
        <v>42</v>
      </c>
      <c r="P8" s="8" t="s">
        <v>43</v>
      </c>
      <c r="Q8" s="8" t="s">
        <v>44</v>
      </c>
      <c r="R8" s="8" t="s">
        <v>45</v>
      </c>
      <c r="S8" s="8" t="s">
        <v>46</v>
      </c>
      <c r="T8" s="8" t="s">
        <v>47</v>
      </c>
      <c r="U8" s="8" t="s">
        <v>48</v>
      </c>
    </row>
    <row r="9" customFormat="false" ht="21.75" hidden="false" customHeight="true" outlineLevel="0" collapsed="false">
      <c r="A9" s="9" t="s">
        <v>49</v>
      </c>
      <c r="B9" s="6" t="s">
        <v>50</v>
      </c>
      <c r="C9" s="10" t="n">
        <v>46272</v>
      </c>
      <c r="D9" s="10" t="n">
        <v>46292</v>
      </c>
      <c r="E9" s="11" t="n">
        <f aca="false">(D9-C9+1)/7</f>
        <v>3</v>
      </c>
      <c r="F9" s="12"/>
      <c r="G9" s="12"/>
      <c r="H9" s="12"/>
      <c r="I9" s="13"/>
      <c r="J9" s="14"/>
      <c r="K9" s="13"/>
      <c r="L9" s="14"/>
      <c r="M9" s="13"/>
      <c r="N9" s="14"/>
      <c r="O9" s="13"/>
      <c r="P9" s="14"/>
      <c r="Q9" s="13"/>
      <c r="R9" s="14"/>
      <c r="S9" s="13"/>
      <c r="T9" s="14"/>
      <c r="U9" s="13"/>
    </row>
    <row r="10" customFormat="false" ht="18" hidden="false" customHeight="true" outlineLevel="0" collapsed="false">
      <c r="A10" s="15" t="s">
        <v>51</v>
      </c>
      <c r="B10" s="16" t="s">
        <v>50</v>
      </c>
      <c r="C10" s="17" t="n">
        <v>46272</v>
      </c>
      <c r="D10" s="17" t="n">
        <v>46278</v>
      </c>
      <c r="E10" s="18" t="n">
        <f aca="false">(D10-C10+1)/7</f>
        <v>1</v>
      </c>
      <c r="F10" s="12"/>
      <c r="G10" s="13"/>
      <c r="H10" s="14"/>
      <c r="I10" s="13"/>
      <c r="J10" s="14"/>
      <c r="K10" s="13"/>
      <c r="L10" s="14"/>
      <c r="M10" s="13"/>
      <c r="N10" s="14"/>
      <c r="O10" s="13"/>
      <c r="P10" s="14"/>
      <c r="Q10" s="13"/>
      <c r="R10" s="14"/>
      <c r="S10" s="13"/>
      <c r="T10" s="14"/>
      <c r="U10" s="13"/>
    </row>
    <row r="11" customFormat="false" ht="18" hidden="false" customHeight="true" outlineLevel="0" collapsed="false">
      <c r="A11" s="15" t="s">
        <v>52</v>
      </c>
      <c r="B11" s="16" t="s">
        <v>50</v>
      </c>
      <c r="C11" s="17" t="n">
        <v>46272</v>
      </c>
      <c r="D11" s="17" t="n">
        <v>46278</v>
      </c>
      <c r="E11" s="18" t="n">
        <f aca="false">(D11-C11+1)/7</f>
        <v>1</v>
      </c>
      <c r="F11" s="12"/>
      <c r="G11" s="13"/>
      <c r="H11" s="14"/>
      <c r="I11" s="13"/>
      <c r="J11" s="14"/>
      <c r="K11" s="13"/>
      <c r="L11" s="14"/>
      <c r="M11" s="13"/>
      <c r="N11" s="14"/>
      <c r="O11" s="13"/>
      <c r="P11" s="14"/>
      <c r="Q11" s="13"/>
      <c r="R11" s="14"/>
      <c r="S11" s="13"/>
      <c r="T11" s="14"/>
      <c r="U11" s="13"/>
    </row>
    <row r="12" customFormat="false" ht="18" hidden="false" customHeight="true" outlineLevel="0" collapsed="false">
      <c r="A12" s="15" t="s">
        <v>53</v>
      </c>
      <c r="B12" s="16" t="s">
        <v>54</v>
      </c>
      <c r="C12" s="17" t="n">
        <v>46272</v>
      </c>
      <c r="D12" s="17" t="n">
        <v>46285</v>
      </c>
      <c r="E12" s="18" t="n">
        <f aca="false">(D12-C12+1)/7</f>
        <v>2</v>
      </c>
      <c r="F12" s="12"/>
      <c r="G12" s="12"/>
      <c r="H12" s="14"/>
      <c r="I12" s="13"/>
      <c r="J12" s="14"/>
      <c r="K12" s="13"/>
      <c r="L12" s="14"/>
      <c r="M12" s="13"/>
      <c r="N12" s="14"/>
      <c r="O12" s="13"/>
      <c r="P12" s="14"/>
      <c r="Q12" s="13"/>
      <c r="R12" s="14"/>
      <c r="S12" s="13"/>
      <c r="T12" s="14"/>
      <c r="U12" s="13"/>
    </row>
    <row r="13" customFormat="false" ht="18" hidden="false" customHeight="true" outlineLevel="0" collapsed="false">
      <c r="A13" s="15" t="s">
        <v>55</v>
      </c>
      <c r="B13" s="16" t="s">
        <v>56</v>
      </c>
      <c r="C13" s="17" t="n">
        <v>46279</v>
      </c>
      <c r="D13" s="17" t="n">
        <v>46285</v>
      </c>
      <c r="E13" s="18" t="n">
        <f aca="false">(D13-C13+1)/7</f>
        <v>1</v>
      </c>
      <c r="F13" s="14"/>
      <c r="G13" s="12"/>
      <c r="H13" s="14"/>
      <c r="I13" s="13"/>
      <c r="J13" s="14"/>
      <c r="K13" s="13"/>
      <c r="L13" s="14"/>
      <c r="M13" s="13"/>
      <c r="N13" s="14"/>
      <c r="O13" s="13"/>
      <c r="P13" s="14"/>
      <c r="Q13" s="13"/>
      <c r="R13" s="14"/>
      <c r="S13" s="13"/>
      <c r="T13" s="14"/>
      <c r="U13" s="13"/>
    </row>
    <row r="14" customFormat="false" ht="18" hidden="false" customHeight="true" outlineLevel="0" collapsed="false">
      <c r="A14" s="15" t="s">
        <v>57</v>
      </c>
      <c r="B14" s="16" t="s">
        <v>50</v>
      </c>
      <c r="C14" s="17" t="n">
        <v>46279</v>
      </c>
      <c r="D14" s="17" t="n">
        <v>46292</v>
      </c>
      <c r="E14" s="18" t="n">
        <f aca="false">(D14-C14+1)/7</f>
        <v>2</v>
      </c>
      <c r="F14" s="14"/>
      <c r="G14" s="12"/>
      <c r="H14" s="12"/>
      <c r="I14" s="13"/>
      <c r="J14" s="14"/>
      <c r="K14" s="13"/>
      <c r="L14" s="14"/>
      <c r="M14" s="13"/>
      <c r="N14" s="14"/>
      <c r="O14" s="13"/>
      <c r="P14" s="14"/>
      <c r="Q14" s="13"/>
      <c r="R14" s="14"/>
      <c r="S14" s="13"/>
      <c r="T14" s="14"/>
      <c r="U14" s="13"/>
    </row>
    <row r="15" customFormat="false" ht="18" hidden="false" customHeight="true" outlineLevel="0" collapsed="false">
      <c r="A15" s="15" t="s">
        <v>58</v>
      </c>
      <c r="B15" s="16" t="s">
        <v>54</v>
      </c>
      <c r="C15" s="17" t="n">
        <v>46279</v>
      </c>
      <c r="D15" s="17" t="n">
        <v>46292</v>
      </c>
      <c r="E15" s="18" t="n">
        <f aca="false">(D15-C15+1)/7</f>
        <v>2</v>
      </c>
      <c r="F15" s="14"/>
      <c r="G15" s="12"/>
      <c r="H15" s="12"/>
      <c r="I15" s="13"/>
      <c r="J15" s="14"/>
      <c r="K15" s="13"/>
      <c r="L15" s="14"/>
      <c r="M15" s="13"/>
      <c r="N15" s="14"/>
      <c r="O15" s="13"/>
      <c r="P15" s="14"/>
      <c r="Q15" s="13"/>
      <c r="R15" s="14"/>
      <c r="S15" s="13"/>
      <c r="T15" s="14"/>
      <c r="U15" s="13"/>
    </row>
    <row r="16" customFormat="false" ht="21.75" hidden="false" customHeight="true" outlineLevel="0" collapsed="false">
      <c r="A16" s="19" t="s">
        <v>59</v>
      </c>
      <c r="B16" s="5" t="s">
        <v>50</v>
      </c>
      <c r="C16" s="20" t="n">
        <v>46293</v>
      </c>
      <c r="D16" s="20" t="n">
        <v>46313</v>
      </c>
      <c r="E16" s="21" t="n">
        <f aca="false">(D16-C16+1)/7</f>
        <v>3</v>
      </c>
      <c r="F16" s="14"/>
      <c r="G16" s="13"/>
      <c r="H16" s="14"/>
      <c r="I16" s="22"/>
      <c r="J16" s="22"/>
      <c r="K16" s="22"/>
      <c r="L16" s="14"/>
      <c r="M16" s="13"/>
      <c r="N16" s="14"/>
      <c r="O16" s="13"/>
      <c r="P16" s="14"/>
      <c r="Q16" s="13"/>
      <c r="R16" s="14"/>
      <c r="S16" s="13"/>
      <c r="T16" s="14"/>
      <c r="U16" s="13"/>
    </row>
    <row r="17" customFormat="false" ht="18" hidden="false" customHeight="true" outlineLevel="0" collapsed="false">
      <c r="A17" s="15" t="s">
        <v>60</v>
      </c>
      <c r="B17" s="16" t="s">
        <v>56</v>
      </c>
      <c r="C17" s="17" t="n">
        <v>46293</v>
      </c>
      <c r="D17" s="17" t="n">
        <v>46299</v>
      </c>
      <c r="E17" s="18" t="n">
        <f aca="false">(D17-C17+1)/7</f>
        <v>1</v>
      </c>
      <c r="F17" s="14"/>
      <c r="G17" s="13"/>
      <c r="H17" s="14"/>
      <c r="I17" s="22"/>
      <c r="J17" s="14"/>
      <c r="K17" s="13"/>
      <c r="L17" s="14"/>
      <c r="M17" s="13"/>
      <c r="N17" s="14"/>
      <c r="O17" s="13"/>
      <c r="P17" s="14"/>
      <c r="Q17" s="13"/>
      <c r="R17" s="14"/>
      <c r="S17" s="13"/>
      <c r="T17" s="14"/>
      <c r="U17" s="13"/>
    </row>
    <row r="18" customFormat="false" ht="18" hidden="false" customHeight="true" outlineLevel="0" collapsed="false">
      <c r="A18" s="15" t="s">
        <v>61</v>
      </c>
      <c r="B18" s="16" t="s">
        <v>54</v>
      </c>
      <c r="C18" s="17" t="n">
        <v>46293</v>
      </c>
      <c r="D18" s="17" t="n">
        <v>46306</v>
      </c>
      <c r="E18" s="18" t="n">
        <f aca="false">(D18-C18+1)/7</f>
        <v>2</v>
      </c>
      <c r="F18" s="14"/>
      <c r="G18" s="13"/>
      <c r="H18" s="14"/>
      <c r="I18" s="22"/>
      <c r="J18" s="22"/>
      <c r="K18" s="13"/>
      <c r="L18" s="14"/>
      <c r="M18" s="13"/>
      <c r="N18" s="14"/>
      <c r="O18" s="13"/>
      <c r="P18" s="14"/>
      <c r="Q18" s="13"/>
      <c r="R18" s="14"/>
      <c r="S18" s="13"/>
      <c r="T18" s="14"/>
      <c r="U18" s="13"/>
    </row>
    <row r="19" customFormat="false" ht="18" hidden="false" customHeight="true" outlineLevel="0" collapsed="false">
      <c r="A19" s="15" t="s">
        <v>62</v>
      </c>
      <c r="B19" s="16" t="s">
        <v>56</v>
      </c>
      <c r="C19" s="17" t="n">
        <v>46300</v>
      </c>
      <c r="D19" s="17" t="n">
        <v>46306</v>
      </c>
      <c r="E19" s="18" t="n">
        <f aca="false">(D19-C19+1)/7</f>
        <v>1</v>
      </c>
      <c r="F19" s="14"/>
      <c r="G19" s="13"/>
      <c r="H19" s="14"/>
      <c r="I19" s="13"/>
      <c r="J19" s="22"/>
      <c r="K19" s="13"/>
      <c r="L19" s="14"/>
      <c r="M19" s="13"/>
      <c r="N19" s="14"/>
      <c r="O19" s="13"/>
      <c r="P19" s="14"/>
      <c r="Q19" s="13"/>
      <c r="R19" s="14"/>
      <c r="S19" s="13"/>
      <c r="T19" s="14"/>
      <c r="U19" s="13"/>
    </row>
    <row r="20" customFormat="false" ht="18" hidden="false" customHeight="true" outlineLevel="0" collapsed="false">
      <c r="A20" s="15" t="s">
        <v>63</v>
      </c>
      <c r="B20" s="16" t="s">
        <v>54</v>
      </c>
      <c r="C20" s="17" t="n">
        <v>46300</v>
      </c>
      <c r="D20" s="17" t="n">
        <v>46313</v>
      </c>
      <c r="E20" s="18" t="n">
        <f aca="false">(D20-C20+1)/7</f>
        <v>2</v>
      </c>
      <c r="F20" s="14"/>
      <c r="G20" s="13"/>
      <c r="H20" s="14"/>
      <c r="I20" s="13"/>
      <c r="J20" s="22"/>
      <c r="K20" s="22"/>
      <c r="L20" s="14"/>
      <c r="M20" s="13"/>
      <c r="N20" s="14"/>
      <c r="O20" s="13"/>
      <c r="P20" s="14"/>
      <c r="Q20" s="13"/>
      <c r="R20" s="14"/>
      <c r="S20" s="13"/>
      <c r="T20" s="14"/>
      <c r="U20" s="13"/>
    </row>
    <row r="21" customFormat="false" ht="18" hidden="false" customHeight="true" outlineLevel="0" collapsed="false">
      <c r="A21" s="15" t="s">
        <v>64</v>
      </c>
      <c r="B21" s="16" t="s">
        <v>56</v>
      </c>
      <c r="C21" s="17" t="n">
        <v>46307</v>
      </c>
      <c r="D21" s="17" t="n">
        <v>46313</v>
      </c>
      <c r="E21" s="18" t="n">
        <f aca="false">(D21-C21+1)/7</f>
        <v>1</v>
      </c>
      <c r="F21" s="14"/>
      <c r="G21" s="13"/>
      <c r="H21" s="14"/>
      <c r="I21" s="13"/>
      <c r="J21" s="14"/>
      <c r="K21" s="22"/>
      <c r="L21" s="14"/>
      <c r="M21" s="13"/>
      <c r="N21" s="14"/>
      <c r="O21" s="13"/>
      <c r="P21" s="14"/>
      <c r="Q21" s="13"/>
      <c r="R21" s="14"/>
      <c r="S21" s="13"/>
      <c r="T21" s="14"/>
      <c r="U21" s="13"/>
    </row>
    <row r="22" customFormat="false" ht="21.75" hidden="false" customHeight="true" outlineLevel="0" collapsed="false">
      <c r="A22" s="23" t="s">
        <v>65</v>
      </c>
      <c r="B22" s="24" t="s">
        <v>50</v>
      </c>
      <c r="C22" s="25" t="n">
        <v>46314</v>
      </c>
      <c r="D22" s="25" t="n">
        <v>46334</v>
      </c>
      <c r="E22" s="26" t="n">
        <f aca="false">(D22-C22+1)/7</f>
        <v>3</v>
      </c>
      <c r="F22" s="14"/>
      <c r="G22" s="13"/>
      <c r="H22" s="14"/>
      <c r="I22" s="13"/>
      <c r="J22" s="14"/>
      <c r="K22" s="13"/>
      <c r="L22" s="27"/>
      <c r="M22" s="27"/>
      <c r="N22" s="27"/>
      <c r="O22" s="13"/>
      <c r="P22" s="14"/>
      <c r="Q22" s="13"/>
      <c r="R22" s="14"/>
      <c r="S22" s="13"/>
      <c r="T22" s="14"/>
      <c r="U22" s="13"/>
    </row>
    <row r="23" customFormat="false" ht="18" hidden="false" customHeight="true" outlineLevel="0" collapsed="false">
      <c r="A23" s="15" t="s">
        <v>66</v>
      </c>
      <c r="B23" s="16" t="s">
        <v>54</v>
      </c>
      <c r="C23" s="17" t="n">
        <v>46314</v>
      </c>
      <c r="D23" s="17" t="n">
        <v>46320</v>
      </c>
      <c r="E23" s="18" t="n">
        <f aca="false">(D23-C23+1)/7</f>
        <v>1</v>
      </c>
      <c r="F23" s="14"/>
      <c r="G23" s="13"/>
      <c r="H23" s="14"/>
      <c r="I23" s="13"/>
      <c r="J23" s="14"/>
      <c r="K23" s="13"/>
      <c r="L23" s="27"/>
      <c r="M23" s="13"/>
      <c r="N23" s="14"/>
      <c r="O23" s="13"/>
      <c r="P23" s="14"/>
      <c r="Q23" s="13"/>
      <c r="R23" s="14"/>
      <c r="S23" s="13"/>
      <c r="T23" s="14"/>
      <c r="U23" s="13"/>
    </row>
    <row r="24" customFormat="false" ht="18" hidden="false" customHeight="true" outlineLevel="0" collapsed="false">
      <c r="A24" s="15" t="s">
        <v>67</v>
      </c>
      <c r="B24" s="16" t="s">
        <v>56</v>
      </c>
      <c r="C24" s="17" t="n">
        <v>46314</v>
      </c>
      <c r="D24" s="17" t="n">
        <v>46327</v>
      </c>
      <c r="E24" s="18" t="n">
        <f aca="false">(D24-C24+1)/7</f>
        <v>2</v>
      </c>
      <c r="F24" s="14"/>
      <c r="G24" s="13"/>
      <c r="H24" s="14"/>
      <c r="I24" s="13"/>
      <c r="J24" s="14"/>
      <c r="K24" s="13"/>
      <c r="L24" s="27"/>
      <c r="M24" s="27"/>
      <c r="N24" s="14"/>
      <c r="O24" s="13"/>
      <c r="P24" s="14"/>
      <c r="Q24" s="13"/>
      <c r="R24" s="14"/>
      <c r="S24" s="13"/>
      <c r="T24" s="14"/>
      <c r="U24" s="13"/>
    </row>
    <row r="25" customFormat="false" ht="18" hidden="false" customHeight="true" outlineLevel="0" collapsed="false">
      <c r="A25" s="15" t="s">
        <v>68</v>
      </c>
      <c r="B25" s="16" t="s">
        <v>54</v>
      </c>
      <c r="C25" s="17" t="n">
        <v>46321</v>
      </c>
      <c r="D25" s="17" t="n">
        <v>46334</v>
      </c>
      <c r="E25" s="18" t="n">
        <f aca="false">(D25-C25+1)/7</f>
        <v>2</v>
      </c>
      <c r="F25" s="14"/>
      <c r="G25" s="13"/>
      <c r="H25" s="14"/>
      <c r="I25" s="13"/>
      <c r="J25" s="14"/>
      <c r="K25" s="13"/>
      <c r="L25" s="14"/>
      <c r="M25" s="27"/>
      <c r="N25" s="27"/>
      <c r="O25" s="13"/>
      <c r="P25" s="14"/>
      <c r="Q25" s="13"/>
      <c r="R25" s="14"/>
      <c r="S25" s="13"/>
      <c r="T25" s="14"/>
      <c r="U25" s="13"/>
    </row>
    <row r="26" customFormat="false" ht="18" hidden="false" customHeight="true" outlineLevel="0" collapsed="false">
      <c r="A26" s="15" t="s">
        <v>69</v>
      </c>
      <c r="B26" s="16" t="s">
        <v>56</v>
      </c>
      <c r="C26" s="17" t="n">
        <v>46328</v>
      </c>
      <c r="D26" s="17" t="n">
        <v>46334</v>
      </c>
      <c r="E26" s="18" t="n">
        <f aca="false">(D26-C26+1)/7</f>
        <v>1</v>
      </c>
      <c r="F26" s="14"/>
      <c r="G26" s="13"/>
      <c r="H26" s="14"/>
      <c r="I26" s="13"/>
      <c r="J26" s="14"/>
      <c r="K26" s="13"/>
      <c r="L26" s="14"/>
      <c r="M26" s="13"/>
      <c r="N26" s="27"/>
      <c r="O26" s="13"/>
      <c r="P26" s="14"/>
      <c r="Q26" s="13"/>
      <c r="R26" s="14"/>
      <c r="S26" s="13"/>
      <c r="T26" s="14"/>
      <c r="U26" s="13"/>
    </row>
    <row r="27" customFormat="false" ht="21.75" hidden="false" customHeight="true" outlineLevel="0" collapsed="false">
      <c r="A27" s="28" t="s">
        <v>70</v>
      </c>
      <c r="B27" s="29" t="s">
        <v>50</v>
      </c>
      <c r="C27" s="30" t="n">
        <v>46335</v>
      </c>
      <c r="D27" s="30" t="n">
        <v>46355</v>
      </c>
      <c r="E27" s="31" t="n">
        <f aca="false">(D27-C27+1)/7</f>
        <v>3</v>
      </c>
      <c r="F27" s="14"/>
      <c r="G27" s="13"/>
      <c r="H27" s="14"/>
      <c r="I27" s="13"/>
      <c r="J27" s="14"/>
      <c r="K27" s="13"/>
      <c r="L27" s="14"/>
      <c r="M27" s="13"/>
      <c r="N27" s="14"/>
      <c r="O27" s="32"/>
      <c r="P27" s="32"/>
      <c r="Q27" s="32"/>
      <c r="R27" s="14"/>
      <c r="S27" s="13"/>
      <c r="T27" s="14"/>
      <c r="U27" s="13"/>
    </row>
    <row r="28" customFormat="false" ht="18" hidden="false" customHeight="true" outlineLevel="0" collapsed="false">
      <c r="A28" s="15" t="s">
        <v>71</v>
      </c>
      <c r="B28" s="16" t="s">
        <v>54</v>
      </c>
      <c r="C28" s="17" t="n">
        <v>46335</v>
      </c>
      <c r="D28" s="17" t="n">
        <v>46341</v>
      </c>
      <c r="E28" s="18" t="n">
        <f aca="false">(D28-C28+1)/7</f>
        <v>1</v>
      </c>
      <c r="F28" s="14"/>
      <c r="G28" s="13"/>
      <c r="H28" s="14"/>
      <c r="I28" s="13"/>
      <c r="J28" s="14"/>
      <c r="K28" s="13"/>
      <c r="L28" s="14"/>
      <c r="M28" s="13"/>
      <c r="N28" s="14"/>
      <c r="O28" s="32"/>
      <c r="P28" s="14"/>
      <c r="Q28" s="13"/>
      <c r="R28" s="14"/>
      <c r="S28" s="13"/>
      <c r="T28" s="14"/>
      <c r="U28" s="13"/>
    </row>
    <row r="29" customFormat="false" ht="18" hidden="false" customHeight="true" outlineLevel="0" collapsed="false">
      <c r="A29" s="15" t="s">
        <v>72</v>
      </c>
      <c r="B29" s="16" t="s">
        <v>56</v>
      </c>
      <c r="C29" s="17" t="n">
        <v>46335</v>
      </c>
      <c r="D29" s="17" t="n">
        <v>46348</v>
      </c>
      <c r="E29" s="18" t="n">
        <f aca="false">(D29-C29+1)/7</f>
        <v>2</v>
      </c>
      <c r="F29" s="14"/>
      <c r="G29" s="13"/>
      <c r="H29" s="14"/>
      <c r="I29" s="13"/>
      <c r="J29" s="14"/>
      <c r="K29" s="13"/>
      <c r="L29" s="14"/>
      <c r="M29" s="13"/>
      <c r="N29" s="14"/>
      <c r="O29" s="32"/>
      <c r="P29" s="32"/>
      <c r="Q29" s="13"/>
      <c r="R29" s="14"/>
      <c r="S29" s="13"/>
      <c r="T29" s="14"/>
      <c r="U29" s="13"/>
    </row>
    <row r="30" customFormat="false" ht="18" hidden="false" customHeight="true" outlineLevel="0" collapsed="false">
      <c r="A30" s="15" t="s">
        <v>73</v>
      </c>
      <c r="B30" s="16" t="s">
        <v>54</v>
      </c>
      <c r="C30" s="17" t="n">
        <v>46342</v>
      </c>
      <c r="D30" s="17" t="n">
        <v>46355</v>
      </c>
      <c r="E30" s="18" t="n">
        <f aca="false">(D30-C30+1)/7</f>
        <v>2</v>
      </c>
      <c r="F30" s="14"/>
      <c r="G30" s="13"/>
      <c r="H30" s="14"/>
      <c r="I30" s="13"/>
      <c r="J30" s="14"/>
      <c r="K30" s="13"/>
      <c r="L30" s="14"/>
      <c r="M30" s="13"/>
      <c r="N30" s="14"/>
      <c r="O30" s="13"/>
      <c r="P30" s="32"/>
      <c r="Q30" s="32"/>
      <c r="R30" s="14"/>
      <c r="S30" s="13"/>
      <c r="T30" s="14"/>
      <c r="U30" s="13"/>
    </row>
    <row r="31" customFormat="false" ht="18" hidden="false" customHeight="true" outlineLevel="0" collapsed="false">
      <c r="A31" s="15" t="s">
        <v>74</v>
      </c>
      <c r="B31" s="16" t="s">
        <v>56</v>
      </c>
      <c r="C31" s="17" t="n">
        <v>46349</v>
      </c>
      <c r="D31" s="17" t="n">
        <v>46355</v>
      </c>
      <c r="E31" s="18" t="n">
        <f aca="false">(D31-C31+1)/7</f>
        <v>1</v>
      </c>
      <c r="F31" s="14"/>
      <c r="G31" s="13"/>
      <c r="H31" s="14"/>
      <c r="I31" s="13"/>
      <c r="J31" s="14"/>
      <c r="K31" s="13"/>
      <c r="L31" s="14"/>
      <c r="M31" s="13"/>
      <c r="N31" s="14"/>
      <c r="O31" s="13"/>
      <c r="P31" s="14"/>
      <c r="Q31" s="32"/>
      <c r="R31" s="14"/>
      <c r="S31" s="13"/>
      <c r="T31" s="14"/>
      <c r="U31" s="13"/>
    </row>
    <row r="32" customFormat="false" ht="21.75" hidden="false" customHeight="true" outlineLevel="0" collapsed="false">
      <c r="A32" s="33" t="s">
        <v>75</v>
      </c>
      <c r="B32" s="34" t="s">
        <v>50</v>
      </c>
      <c r="C32" s="35" t="n">
        <v>46356</v>
      </c>
      <c r="D32" s="35" t="n">
        <v>46369</v>
      </c>
      <c r="E32" s="36" t="n">
        <f aca="false">(D32-C32+1)/7</f>
        <v>2</v>
      </c>
      <c r="F32" s="14"/>
      <c r="G32" s="13"/>
      <c r="H32" s="14"/>
      <c r="I32" s="13"/>
      <c r="J32" s="14"/>
      <c r="K32" s="13"/>
      <c r="L32" s="14"/>
      <c r="M32" s="13"/>
      <c r="N32" s="14"/>
      <c r="O32" s="13"/>
      <c r="P32" s="14"/>
      <c r="Q32" s="13"/>
      <c r="R32" s="37"/>
      <c r="S32" s="37"/>
      <c r="T32" s="14"/>
      <c r="U32" s="13"/>
    </row>
    <row r="33" customFormat="false" ht="18" hidden="false" customHeight="true" outlineLevel="0" collapsed="false">
      <c r="A33" s="15" t="s">
        <v>76</v>
      </c>
      <c r="B33" s="16" t="s">
        <v>50</v>
      </c>
      <c r="C33" s="17" t="n">
        <v>46356</v>
      </c>
      <c r="D33" s="17" t="n">
        <v>46362</v>
      </c>
      <c r="E33" s="18" t="n">
        <f aca="false">(D33-C33+1)/7</f>
        <v>1</v>
      </c>
      <c r="F33" s="14"/>
      <c r="G33" s="13"/>
      <c r="H33" s="14"/>
      <c r="I33" s="13"/>
      <c r="J33" s="14"/>
      <c r="K33" s="13"/>
      <c r="L33" s="14"/>
      <c r="M33" s="13"/>
      <c r="N33" s="14"/>
      <c r="O33" s="13"/>
      <c r="P33" s="14"/>
      <c r="Q33" s="13"/>
      <c r="R33" s="37"/>
      <c r="S33" s="13"/>
      <c r="T33" s="14"/>
      <c r="U33" s="13"/>
    </row>
    <row r="34" customFormat="false" ht="18" hidden="false" customHeight="true" outlineLevel="0" collapsed="false">
      <c r="A34" s="15" t="s">
        <v>77</v>
      </c>
      <c r="B34" s="16" t="s">
        <v>54</v>
      </c>
      <c r="C34" s="17" t="n">
        <v>46356</v>
      </c>
      <c r="D34" s="17" t="n">
        <v>46362</v>
      </c>
      <c r="E34" s="18" t="n">
        <f aca="false">(D34-C34+1)/7</f>
        <v>1</v>
      </c>
      <c r="F34" s="14"/>
      <c r="G34" s="13"/>
      <c r="H34" s="14"/>
      <c r="I34" s="13"/>
      <c r="J34" s="14"/>
      <c r="K34" s="13"/>
      <c r="L34" s="14"/>
      <c r="M34" s="13"/>
      <c r="N34" s="14"/>
      <c r="O34" s="13"/>
      <c r="P34" s="14"/>
      <c r="Q34" s="13"/>
      <c r="R34" s="37"/>
      <c r="S34" s="13"/>
      <c r="T34" s="14"/>
      <c r="U34" s="13"/>
    </row>
    <row r="35" customFormat="false" ht="18" hidden="false" customHeight="true" outlineLevel="0" collapsed="false">
      <c r="A35" s="15" t="s">
        <v>78</v>
      </c>
      <c r="B35" s="16" t="s">
        <v>56</v>
      </c>
      <c r="C35" s="17" t="n">
        <v>46356</v>
      </c>
      <c r="D35" s="17" t="n">
        <v>46369</v>
      </c>
      <c r="E35" s="18" t="n">
        <f aca="false">(D35-C35+1)/7</f>
        <v>2</v>
      </c>
      <c r="F35" s="14"/>
      <c r="G35" s="13"/>
      <c r="H35" s="14"/>
      <c r="I35" s="13"/>
      <c r="J35" s="14"/>
      <c r="K35" s="13"/>
      <c r="L35" s="14"/>
      <c r="M35" s="13"/>
      <c r="N35" s="14"/>
      <c r="O35" s="13"/>
      <c r="P35" s="14"/>
      <c r="Q35" s="13"/>
      <c r="R35" s="37"/>
      <c r="S35" s="37"/>
      <c r="T35" s="14"/>
      <c r="U35" s="13"/>
    </row>
    <row r="36" customFormat="false" ht="18" hidden="false" customHeight="true" outlineLevel="0" collapsed="false">
      <c r="A36" s="15" t="s">
        <v>79</v>
      </c>
      <c r="B36" s="16" t="s">
        <v>50</v>
      </c>
      <c r="C36" s="17" t="n">
        <v>46363</v>
      </c>
      <c r="D36" s="17" t="n">
        <v>46369</v>
      </c>
      <c r="E36" s="18" t="n">
        <f aca="false">(D36-C36+1)/7</f>
        <v>1</v>
      </c>
      <c r="F36" s="14"/>
      <c r="G36" s="13"/>
      <c r="H36" s="14"/>
      <c r="I36" s="13"/>
      <c r="J36" s="14"/>
      <c r="K36" s="13"/>
      <c r="L36" s="14"/>
      <c r="M36" s="13"/>
      <c r="N36" s="14"/>
      <c r="O36" s="13"/>
      <c r="P36" s="14"/>
      <c r="Q36" s="13"/>
      <c r="R36" s="14"/>
      <c r="S36" s="37"/>
      <c r="T36" s="14"/>
      <c r="U36" s="13"/>
    </row>
    <row r="37" customFormat="false" ht="21.75" hidden="false" customHeight="true" outlineLevel="0" collapsed="false">
      <c r="A37" s="38" t="s">
        <v>80</v>
      </c>
      <c r="B37" s="39" t="s">
        <v>50</v>
      </c>
      <c r="C37" s="40" t="n">
        <v>46370</v>
      </c>
      <c r="D37" s="40" t="n">
        <v>46383</v>
      </c>
      <c r="E37" s="41" t="n">
        <f aca="false">(D37-C37+1)/7</f>
        <v>2</v>
      </c>
      <c r="F37" s="14"/>
      <c r="G37" s="13"/>
      <c r="H37" s="14"/>
      <c r="I37" s="13"/>
      <c r="J37" s="14"/>
      <c r="K37" s="13"/>
      <c r="L37" s="14"/>
      <c r="M37" s="13"/>
      <c r="N37" s="14"/>
      <c r="O37" s="13"/>
      <c r="P37" s="14"/>
      <c r="Q37" s="13"/>
      <c r="R37" s="14"/>
      <c r="S37" s="13"/>
      <c r="T37" s="42"/>
      <c r="U37" s="42"/>
    </row>
    <row r="38" customFormat="false" ht="18" hidden="false" customHeight="true" outlineLevel="0" collapsed="false">
      <c r="A38" s="15" t="s">
        <v>81</v>
      </c>
      <c r="B38" s="16" t="s">
        <v>50</v>
      </c>
      <c r="C38" s="17" t="n">
        <v>46370</v>
      </c>
      <c r="D38" s="17" t="n">
        <v>46376</v>
      </c>
      <c r="E38" s="18" t="n">
        <f aca="false">(D38-C38+1)/7</f>
        <v>1</v>
      </c>
      <c r="F38" s="14"/>
      <c r="G38" s="13"/>
      <c r="H38" s="14"/>
      <c r="I38" s="13"/>
      <c r="J38" s="14"/>
      <c r="K38" s="13"/>
      <c r="L38" s="14"/>
      <c r="M38" s="13"/>
      <c r="N38" s="14"/>
      <c r="O38" s="13"/>
      <c r="P38" s="14"/>
      <c r="Q38" s="13"/>
      <c r="R38" s="14"/>
      <c r="S38" s="13"/>
      <c r="T38" s="42"/>
      <c r="U38" s="13"/>
    </row>
    <row r="39" customFormat="false" ht="18" hidden="false" customHeight="true" outlineLevel="0" collapsed="false">
      <c r="A39" s="15" t="s">
        <v>82</v>
      </c>
      <c r="B39" s="16" t="s">
        <v>54</v>
      </c>
      <c r="C39" s="17" t="n">
        <v>46370</v>
      </c>
      <c r="D39" s="17" t="n">
        <v>46383</v>
      </c>
      <c r="E39" s="18" t="n">
        <f aca="false">(D39-C39+1)/7</f>
        <v>2</v>
      </c>
      <c r="F39" s="14"/>
      <c r="G39" s="13"/>
      <c r="H39" s="14"/>
      <c r="I39" s="13"/>
      <c r="J39" s="14"/>
      <c r="K39" s="13"/>
      <c r="L39" s="14"/>
      <c r="M39" s="13"/>
      <c r="N39" s="14"/>
      <c r="O39" s="13"/>
      <c r="P39" s="14"/>
      <c r="Q39" s="13"/>
      <c r="R39" s="14"/>
      <c r="S39" s="13"/>
      <c r="T39" s="42"/>
      <c r="U39" s="42"/>
    </row>
    <row r="40" customFormat="false" ht="18" hidden="false" customHeight="true" outlineLevel="0" collapsed="false">
      <c r="A40" s="15" t="s">
        <v>83</v>
      </c>
      <c r="B40" s="16" t="s">
        <v>56</v>
      </c>
      <c r="C40" s="17" t="n">
        <v>46377</v>
      </c>
      <c r="D40" s="17" t="n">
        <v>46383</v>
      </c>
      <c r="E40" s="18" t="n">
        <f aca="false">(D40-C40+1)/7</f>
        <v>1</v>
      </c>
      <c r="F40" s="14"/>
      <c r="G40" s="13"/>
      <c r="H40" s="14"/>
      <c r="I40" s="13"/>
      <c r="J40" s="14"/>
      <c r="K40" s="13"/>
      <c r="L40" s="14"/>
      <c r="M40" s="13"/>
      <c r="N40" s="14"/>
      <c r="O40" s="13"/>
      <c r="P40" s="14"/>
      <c r="Q40" s="13"/>
      <c r="R40" s="14"/>
      <c r="S40" s="13"/>
      <c r="T40" s="14"/>
      <c r="U40" s="42"/>
    </row>
    <row r="41" customFormat="false" ht="18" hidden="false" customHeight="true" outlineLevel="0" collapsed="false">
      <c r="A41" s="15" t="s">
        <v>84</v>
      </c>
      <c r="B41" s="16" t="s">
        <v>50</v>
      </c>
      <c r="C41" s="17" t="n">
        <v>46377</v>
      </c>
      <c r="D41" s="17" t="n">
        <v>46383</v>
      </c>
      <c r="E41" s="18" t="n">
        <f aca="false">(D41-C41+1)/7</f>
        <v>1</v>
      </c>
      <c r="F41" s="14"/>
      <c r="G41" s="13"/>
      <c r="H41" s="14"/>
      <c r="I41" s="13"/>
      <c r="J41" s="14"/>
      <c r="K41" s="13"/>
      <c r="L41" s="14"/>
      <c r="M41" s="13"/>
      <c r="N41" s="14"/>
      <c r="O41" s="13"/>
      <c r="P41" s="14"/>
      <c r="Q41" s="13"/>
      <c r="R41" s="14"/>
      <c r="S41" s="13"/>
      <c r="T41" s="14"/>
      <c r="U41" s="42"/>
    </row>
    <row r="42" customFormat="false" ht="21.75" hidden="false" customHeight="true" outlineLevel="0" collapsed="false">
      <c r="A42" s="43" t="s">
        <v>85</v>
      </c>
      <c r="B42" s="44" t="s">
        <v>50</v>
      </c>
      <c r="C42" s="45" t="n">
        <v>46272</v>
      </c>
      <c r="D42" s="45" t="n">
        <v>46383</v>
      </c>
      <c r="E42" s="46" t="n">
        <f aca="false">(D42-C42+1)/7</f>
        <v>16</v>
      </c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</row>
    <row r="43" customFormat="false" ht="18" hidden="false" customHeight="true" outlineLevel="0" collapsed="false">
      <c r="A43" s="15" t="s">
        <v>86</v>
      </c>
      <c r="B43" s="16" t="s">
        <v>50</v>
      </c>
      <c r="C43" s="17" t="n">
        <v>46272</v>
      </c>
      <c r="D43" s="17" t="n">
        <v>46383</v>
      </c>
      <c r="E43" s="18" t="n">
        <f aca="false">(D43-C43+1)/7</f>
        <v>16</v>
      </c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</row>
    <row r="44" customFormat="false" ht="18" hidden="false" customHeight="true" outlineLevel="0" collapsed="false">
      <c r="A44" s="15" t="s">
        <v>87</v>
      </c>
      <c r="B44" s="16" t="s">
        <v>50</v>
      </c>
      <c r="C44" s="17" t="n">
        <v>46272</v>
      </c>
      <c r="D44" s="17" t="n">
        <v>46383</v>
      </c>
      <c r="E44" s="18" t="n">
        <f aca="false">(D44-C44+1)/7</f>
        <v>16</v>
      </c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</row>
    <row r="45" customFormat="false" ht="18" hidden="false" customHeight="true" outlineLevel="0" collapsed="false">
      <c r="A45" s="15" t="s">
        <v>88</v>
      </c>
      <c r="B45" s="16" t="s">
        <v>50</v>
      </c>
      <c r="C45" s="17" t="n">
        <v>46272</v>
      </c>
      <c r="D45" s="17" t="n">
        <v>46383</v>
      </c>
      <c r="E45" s="18" t="n">
        <f aca="false">(D45-C45+1)/7</f>
        <v>16</v>
      </c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customFormat="false" ht="18" hidden="false" customHeight="true" outlineLevel="0" collapsed="false">
      <c r="A46" s="15" t="s">
        <v>89</v>
      </c>
      <c r="B46" s="16" t="s">
        <v>50</v>
      </c>
      <c r="C46" s="17" t="n">
        <v>46272</v>
      </c>
      <c r="D46" s="17" t="n">
        <v>46383</v>
      </c>
      <c r="E46" s="18" t="n">
        <f aca="false">(D46-C46+1)/7</f>
        <v>16</v>
      </c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</row>
    <row r="48" customFormat="false" ht="15" hidden="false" customHeight="true" outlineLevel="0" collapsed="false">
      <c r="A48" s="48" t="s">
        <v>90</v>
      </c>
    </row>
    <row r="49" customFormat="false" ht="13.5" hidden="false" customHeight="true" outlineLevel="0" collapsed="false">
      <c r="A49" s="49" t="s">
        <v>91</v>
      </c>
    </row>
    <row r="50" customFormat="false" ht="13.5" hidden="false" customHeight="true" outlineLevel="0" collapsed="false">
      <c r="A50" s="49" t="s">
        <v>92</v>
      </c>
    </row>
    <row r="51" customFormat="false" ht="13.5" hidden="false" customHeight="true" outlineLevel="0" collapsed="false">
      <c r="A51" s="49" t="s">
        <v>93</v>
      </c>
    </row>
    <row r="52" customFormat="false" ht="13.5" hidden="false" customHeight="true" outlineLevel="0" collapsed="false">
      <c r="A52" s="49" t="s">
        <v>94</v>
      </c>
    </row>
    <row r="53" customFormat="false" ht="13.5" hidden="false" customHeight="true" outlineLevel="0" collapsed="false">
      <c r="A53" s="49" t="s">
        <v>95</v>
      </c>
    </row>
    <row r="54" customFormat="false" ht="13.5" hidden="false" customHeight="true" outlineLevel="0" collapsed="false">
      <c r="A54" s="49" t="s">
        <v>96</v>
      </c>
    </row>
    <row r="55" customFormat="false" ht="15" hidden="false" customHeight="false" outlineLevel="0" collapsed="false">
      <c r="A55" s="50" t="s">
        <v>97</v>
      </c>
    </row>
    <row r="56" customFormat="false" ht="15" hidden="false" customHeight="true" outlineLevel="0" collapsed="false">
      <c r="A56" s="48" t="s">
        <v>98</v>
      </c>
    </row>
    <row r="57" customFormat="false" ht="15" hidden="false" customHeight="true" outlineLevel="0" collapsed="false">
      <c r="A57" s="51" t="s">
        <v>99</v>
      </c>
      <c r="B57" s="51" t="s">
        <v>100</v>
      </c>
      <c r="C57" s="51" t="s">
        <v>101</v>
      </c>
    </row>
    <row r="58" customFormat="false" ht="15" hidden="false" customHeight="true" outlineLevel="0" collapsed="false">
      <c r="A58" s="52" t="s">
        <v>102</v>
      </c>
      <c r="B58" s="53" t="n">
        <v>1</v>
      </c>
      <c r="C58" s="52" t="s">
        <v>103</v>
      </c>
    </row>
    <row r="59" customFormat="false" ht="15" hidden="false" customHeight="true" outlineLevel="0" collapsed="false">
      <c r="A59" s="52" t="s">
        <v>104</v>
      </c>
      <c r="B59" s="53" t="n">
        <v>3.5</v>
      </c>
      <c r="C59" s="52" t="s">
        <v>103</v>
      </c>
    </row>
    <row r="60" customFormat="false" ht="15" hidden="false" customHeight="true" outlineLevel="0" collapsed="false">
      <c r="A60" s="52" t="s">
        <v>105</v>
      </c>
      <c r="B60" s="53" t="n">
        <v>3.5</v>
      </c>
      <c r="C60" s="52" t="s">
        <v>103</v>
      </c>
    </row>
    <row r="61" customFormat="false" ht="15" hidden="false" customHeight="true" outlineLevel="0" collapsed="false">
      <c r="A61" s="54" t="s">
        <v>106</v>
      </c>
      <c r="B61" s="55" t="n">
        <f aca="false">SUM(B58:B60)</f>
        <v>8</v>
      </c>
      <c r="C61" s="54" t="s">
        <v>107</v>
      </c>
    </row>
    <row r="62" customFormat="false" ht="15" hidden="false" customHeight="true" outlineLevel="0" collapsed="false">
      <c r="A62" s="54" t="s">
        <v>108</v>
      </c>
      <c r="B62" s="56" t="n">
        <v>16</v>
      </c>
      <c r="C62" s="54" t="s">
        <v>109</v>
      </c>
    </row>
    <row r="63" customFormat="false" ht="15" hidden="false" customHeight="true" outlineLevel="0" collapsed="false">
      <c r="A63" s="54" t="s">
        <v>110</v>
      </c>
      <c r="B63" s="56" t="n">
        <f aca="false">B61*B62</f>
        <v>128</v>
      </c>
      <c r="C63" s="54" t="s">
        <v>103</v>
      </c>
    </row>
    <row r="64" customFormat="false" ht="15" hidden="false" customHeight="true" outlineLevel="0" collapsed="false">
      <c r="A64" s="54" t="s">
        <v>111</v>
      </c>
      <c r="B64" s="56" t="n">
        <f aca="false">B63*2</f>
        <v>256</v>
      </c>
      <c r="C64" s="54" t="s">
        <v>112</v>
      </c>
    </row>
    <row r="65" customFormat="false" ht="15" hidden="false" customHeight="true" outlineLevel="0" collapsed="false">
      <c r="A65" s="57" t="s">
        <v>113</v>
      </c>
    </row>
  </sheetData>
  <mergeCells count="13">
    <mergeCell ref="A6:A8"/>
    <mergeCell ref="B6:B8"/>
    <mergeCell ref="C6:C8"/>
    <mergeCell ref="D6:D8"/>
    <mergeCell ref="E6:E8"/>
    <mergeCell ref="F6:G6"/>
    <mergeCell ref="H6:I6"/>
    <mergeCell ref="J6:K6"/>
    <mergeCell ref="L6:M6"/>
    <mergeCell ref="N6:O6"/>
    <mergeCell ref="P6:Q6"/>
    <mergeCell ref="R6:S6"/>
    <mergeCell ref="T6:U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2026-09-02T21:57:36Z</dcterms:created>
  <dc:creator>openpyxl</dc:creator>
  <dc:description/>
  <dc:language>en-US</dc:language>
  <cp:lastModifiedBy/>
  <dcterms:modified xsi:type="dcterms:W3CDTF">2026-09-23T18:50:56Z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